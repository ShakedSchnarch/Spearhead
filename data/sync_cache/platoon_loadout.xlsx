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2" sheetId="1" r:id="rId4"/>
    <sheet state="visible" name="שבוע 3" sheetId="2" r:id="rId5"/>
  </sheets>
  <definedNames/>
  <calcPr/>
</workbook>
</file>

<file path=xl/sharedStrings.xml><?xml version="1.0" encoding="utf-8"?>
<sst xmlns="http://schemas.openxmlformats.org/spreadsheetml/2006/main" count="1432" uniqueCount="175">
  <si>
    <t xml:space="preserve">דוח זיווד </t>
  </si>
  <si>
    <t>תחמושת</t>
  </si>
  <si>
    <t>הפריט</t>
  </si>
  <si>
    <t>תקן</t>
  </si>
  <si>
    <t>צ'636</t>
  </si>
  <si>
    <t>צ'653</t>
  </si>
  <si>
    <t>צ'337</t>
  </si>
  <si>
    <t>צ'676</t>
  </si>
  <si>
    <t>צ'670</t>
  </si>
  <si>
    <t>צ'637</t>
  </si>
  <si>
    <t>צ'427</t>
  </si>
  <si>
    <t>צ'329</t>
  </si>
  <si>
    <t>צ'423</t>
  </si>
  <si>
    <t>צ'631</t>
  </si>
  <si>
    <t>צ'456</t>
  </si>
  <si>
    <t>סהכ פלוגתי</t>
  </si>
  <si>
    <t>חבל פריסה</t>
  </si>
  <si>
    <t>חלול</t>
  </si>
  <si>
    <t>פטיש 5</t>
  </si>
  <si>
    <t>כלנית</t>
  </si>
  <si>
    <t>ראשוני</t>
  </si>
  <si>
    <t>חצב</t>
  </si>
  <si>
    <t>איציק</t>
  </si>
  <si>
    <t>חץ</t>
  </si>
  <si>
    <t>לום</t>
  </si>
  <si>
    <t>סהכ פגזים לטנק</t>
  </si>
  <si>
    <t>סהכ</t>
  </si>
  <si>
    <t>מאריך חש"ן</t>
  </si>
  <si>
    <t>מאג</t>
  </si>
  <si>
    <t>בייבי קוני</t>
  </si>
  <si>
    <t>משלק</t>
  </si>
  <si>
    <t>פטיש קילו</t>
  </si>
  <si>
    <t>פצמר תאורה</t>
  </si>
  <si>
    <t>מפתח Y</t>
  </si>
  <si>
    <t>פצמר נפיץ</t>
  </si>
  <si>
    <t xml:space="preserve">2מפתח פלטות </t>
  </si>
  <si>
    <t>ראש מ״ר</t>
  </si>
  <si>
    <t>בוקסה 1\5\16</t>
  </si>
  <si>
    <t>רימון רסס</t>
  </si>
  <si>
    <t>ידית כוח חצי</t>
  </si>
  <si>
    <t>רימון עשן</t>
  </si>
  <si>
    <t>ידית כוח 3\4</t>
  </si>
  <si>
    <t>מדוחות</t>
  </si>
  <si>
    <t>מחט ירי</t>
  </si>
  <si>
    <t>מטען ניתוק זחל</t>
  </si>
  <si>
    <t>1(1-18)</t>
  </si>
  <si>
    <t>1(1-16)</t>
  </si>
  <si>
    <t>1 (1-18)</t>
  </si>
  <si>
    <t>אלונקה</t>
  </si>
  <si>
    <t>נונל</t>
  </si>
  <si>
    <t>9מקלות חוטר</t>
  </si>
  <si>
    <t>מפתח כליר</t>
  </si>
  <si>
    <t>שרשרת גרירה</t>
  </si>
  <si>
    <t>תיק כלי עבודה</t>
  </si>
  <si>
    <t>שאקל 25</t>
  </si>
  <si>
    <t>בוקסה 1 1\2</t>
  </si>
  <si>
    <t>שאקל קרנף</t>
  </si>
  <si>
    <t>בוקסה 9\16</t>
  </si>
  <si>
    <t>שאקל 5</t>
  </si>
  <si>
    <t>מאריך ארוך 1\2</t>
  </si>
  <si>
    <t>סט שיני חזיר\נג"ח</t>
  </si>
  <si>
    <t>מאריך קצר 1\2</t>
  </si>
  <si>
    <t>מאריך ארוך 3\4</t>
  </si>
  <si>
    <t>דוח ציוד קשר</t>
  </si>
  <si>
    <t>מאריך קצר 3\4</t>
  </si>
  <si>
    <t>מפרק חצי</t>
  </si>
  <si>
    <t>מקמש</t>
  </si>
  <si>
    <t>גריקן 20 ליטר</t>
  </si>
  <si>
    <t>גנטקס</t>
  </si>
  <si>
    <t>פוט שוש</t>
  </si>
  <si>
    <t>פתיל</t>
  </si>
  <si>
    <t>גבקה</t>
  </si>
  <si>
    <t>מעד</t>
  </si>
  <si>
    <t>פטיש עיסית</t>
  </si>
  <si>
    <t>מיק חירום</t>
  </si>
  <si>
    <t>אלונקת מעוז</t>
  </si>
  <si>
    <t>רמק</t>
  </si>
  <si>
    <t>ראצר סדן</t>
  </si>
  <si>
    <t>בורג עין</t>
  </si>
  <si>
    <t>פיסת אבטחה</t>
  </si>
  <si>
    <t>דוח צלם- נוספים</t>
  </si>
  <si>
    <t>דוח סמים</t>
  </si>
  <si>
    <t>בוחן מעגלי ירי</t>
  </si>
  <si>
    <t>הצלם</t>
  </si>
  <si>
    <t>צ'</t>
  </si>
  <si>
    <t>מיקום</t>
  </si>
  <si>
    <t>תקין\פירוט התקלה</t>
  </si>
  <si>
    <t>האמצעי</t>
  </si>
  <si>
    <t>תוקף</t>
  </si>
  <si>
    <t>פודל</t>
  </si>
  <si>
    <t>מ.ק</t>
  </si>
  <si>
    <t>אלבז</t>
  </si>
  <si>
    <t>אקטיק 01</t>
  </si>
  <si>
    <t>פליז</t>
  </si>
  <si>
    <t>יניר</t>
  </si>
  <si>
    <t>אקטיק 02</t>
  </si>
  <si>
    <t>נגח חולץ</t>
  </si>
  <si>
    <t>76(למברג)</t>
  </si>
  <si>
    <t>גביע חליצה</t>
  </si>
  <si>
    <t>76(אלברט)</t>
  </si>
  <si>
    <t>כבל הנעה</t>
  </si>
  <si>
    <t>76(רעי)</t>
  </si>
  <si>
    <t>מד מומנט</t>
  </si>
  <si>
    <t>76(כרסנטי)</t>
  </si>
  <si>
    <t>זרקור עזר</t>
  </si>
  <si>
    <t>מברג קנ"ר</t>
  </si>
  <si>
    <t>גק ערבי</t>
  </si>
  <si>
    <t>שוש אייל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</si>
  <si>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</si>
  <si>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</si>
  <si>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</si>
  <si>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</si>
  <si>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</si>
  <si>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</si>
  <si>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</si>
  <si>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</si>
  <si>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</si>
  <si>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</si>
  <si>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</si>
  <si>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</si>
  <si>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</si>
  <si>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</si>
  <si>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</si>
  <si>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</si>
  <si>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</si>
  <si>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</si>
  <si>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</si>
  <si>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</si>
  <si>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</si>
  <si>
    <t>טנק 636</t>
  </si>
  <si>
    <t>טנק 653</t>
  </si>
  <si>
    <t>טנק 337</t>
  </si>
  <si>
    <t>טנק 676</t>
  </si>
  <si>
    <t>טנק 670</t>
  </si>
  <si>
    <t>טנק 637</t>
  </si>
  <si>
    <t>טנק 427</t>
  </si>
  <si>
    <t>טנק 329</t>
  </si>
  <si>
    <t>טנק 423</t>
  </si>
  <si>
    <t>טנק 631</t>
  </si>
  <si>
    <t>טנק 456</t>
  </si>
  <si>
    <t>מאג 1</t>
  </si>
  <si>
    <t>בטנק</t>
  </si>
  <si>
    <t>תקין</t>
  </si>
  <si>
    <t>מאג 2</t>
  </si>
  <si>
    <t>-</t>
  </si>
  <si>
    <t>מקלע 05</t>
  </si>
  <si>
    <t>אמרל</t>
  </si>
  <si>
    <t>משקפת</t>
  </si>
  <si>
    <t>ללצ</t>
  </si>
  <si>
    <t>מצפן</t>
  </si>
  <si>
    <t>אולר</t>
  </si>
  <si>
    <t>בורוסייט</t>
  </si>
  <si>
    <t>NFC</t>
  </si>
  <si>
    <t>מדיה\נר לילה</t>
  </si>
  <si>
    <t>צ'636- אלבז</t>
  </si>
  <si>
    <t>צ'653 - יניר</t>
  </si>
  <si>
    <t>צ'337 - למברג</t>
  </si>
  <si>
    <t>צ'676 - דוד</t>
  </si>
  <si>
    <t>צ'670 - אלברט</t>
  </si>
  <si>
    <t>צ'637 - יניב</t>
  </si>
  <si>
    <t>צ'427 - רעי</t>
  </si>
  <si>
    <t>צ'329 - מזעקי</t>
  </si>
  <si>
    <t>צ'423 - קרסנטי</t>
  </si>
  <si>
    <t>צ'631 -זכריה</t>
  </si>
  <si>
    <t>צ'456-וגנר</t>
  </si>
  <si>
    <t>סהכ חוסרים\בלאי פלוגתי</t>
  </si>
  <si>
    <t>קיים</t>
  </si>
  <si>
    <t>קיים 2</t>
  </si>
  <si>
    <t>בלאי</t>
  </si>
  <si>
    <t>חוסר</t>
  </si>
  <si>
    <t xml:space="preserve">כלנית </t>
  </si>
  <si>
    <t>מרגמה 60 נפיץ</t>
  </si>
  <si>
    <t>מרגמה 60 תאורה</t>
  </si>
  <si>
    <t>מעיל רוח</t>
  </si>
  <si>
    <t>דוח אמצעים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</si>
</sst>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rgb="FFFFFFFF"/>
      <name val="Arial"/>
    </font>
    <font>
      <b/>
      <u/>
      <color theme="1"/>
      <name val="Arial"/>
    </font>
    <font>
      <b/>
      <sz val="11.0"/>
      <color rgb="FF202124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  <font>
      <sz val="11.0"/>
      <color rgb="FF202124"/>
      <name val="Roboto"/>
    </font>
    <font>
      <b/>
      <sz val="10.0"/>
      <color rgb="FF202124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0" fillId="4" fontId="4" numFmtId="0" xfId="0" applyAlignment="1" applyFill="1" applyFont="1">
      <alignment horizontal="right" vertical="bottom"/>
    </xf>
    <xf borderId="0" fillId="5" fontId="5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4" fillId="6" fontId="6" numFmtId="0" xfId="0" applyAlignment="1" applyBorder="1" applyFill="1" applyFont="1">
      <alignment horizontal="right" readingOrder="0" shrinkToFit="0" wrapText="0"/>
    </xf>
    <xf borderId="4" fillId="7" fontId="1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5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4" fillId="6" fontId="9" numFmtId="0" xfId="0" applyAlignment="1" applyBorder="1" applyFont="1">
      <alignment readingOrder="0"/>
    </xf>
    <xf borderId="4" fillId="8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4" fillId="9" fontId="6" numFmtId="0" xfId="0" applyAlignment="1" applyBorder="1" applyFill="1" applyFont="1">
      <alignment horizontal="right" readingOrder="0" shrinkToFit="0" wrapText="0"/>
    </xf>
    <xf borderId="0" fillId="0" fontId="7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wrapText="1"/>
    </xf>
    <xf borderId="4" fillId="9" fontId="10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4" fillId="3" fontId="9" numFmtId="0" xfId="0" applyAlignment="1" applyBorder="1" applyFont="1">
      <alignment horizontal="center" readingOrder="0"/>
    </xf>
    <xf borderId="4" fillId="9" fontId="11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/>
    </xf>
    <xf borderId="4" fillId="0" fontId="13" numFmtId="0" xfId="0" applyAlignment="1" applyBorder="1" applyFont="1">
      <alignment readingOrder="0"/>
    </xf>
    <xf borderId="0" fillId="9" fontId="11" numFmtId="0" xfId="0" applyAlignment="1" applyFont="1">
      <alignment horizontal="center" readingOrder="0" shrinkToFit="0" wrapText="0"/>
    </xf>
    <xf borderId="4" fillId="0" fontId="12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7" numFmtId="0" xfId="0" applyBorder="1" applyFont="1"/>
    <xf borderId="4" fillId="0" fontId="7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9" fontId="6" numFmtId="0" xfId="0" applyAlignment="1" applyBorder="1" applyFont="1">
      <alignment horizontal="right" readingOrder="0" shrinkToFit="0" wrapText="1"/>
    </xf>
    <xf borderId="0" fillId="0" fontId="9" numFmtId="0" xfId="0" applyAlignment="1" applyFont="1">
      <alignment horizontal="right" readingOrder="0"/>
    </xf>
    <xf borderId="0" fillId="7" fontId="1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5" fillId="0" fontId="2" numFmtId="0" xfId="0" applyBorder="1" applyFont="1"/>
    <xf borderId="6" fillId="2" fontId="9" numFmtId="0" xfId="0" applyAlignment="1" applyBorder="1" applyFont="1">
      <alignment horizontal="center" readingOrder="0"/>
    </xf>
    <xf borderId="7" fillId="8" fontId="1" numFmtId="0" xfId="0" applyAlignment="1" applyBorder="1" applyFont="1">
      <alignment horizontal="center" readingOrder="0"/>
    </xf>
    <xf borderId="3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3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4" fillId="3" fontId="1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/>
    </xf>
    <xf borderId="7" fillId="0" fontId="7" numFmtId="0" xfId="0" applyBorder="1" applyFont="1"/>
    <xf borderId="3" fillId="0" fontId="7" numFmtId="0" xfId="0" applyBorder="1" applyFont="1"/>
    <xf borderId="1" fillId="0" fontId="7" numFmtId="0" xfId="0" applyBorder="1" applyFont="1"/>
    <xf borderId="8" fillId="0" fontId="7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שבוע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3:D5" displayName="Table_1" name="Table_1" id="1">
  <tableColumns count="2">
    <tableColumn name="קיים" id="1"/>
    <tableColumn name="קיים 2" id="2"/>
  </tableColumns>
  <tableStyleInfo name="שבוע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P2" s="9"/>
      <c r="Q2" s="10">
        <v>636.0</v>
      </c>
      <c r="R2" s="10">
        <v>653.0</v>
      </c>
      <c r="S2" s="10">
        <v>456.0</v>
      </c>
      <c r="T2" s="10">
        <v>337.0</v>
      </c>
      <c r="U2" s="10">
        <v>329.0</v>
      </c>
      <c r="V2" s="10">
        <v>427.0</v>
      </c>
      <c r="W2" s="10">
        <v>631.0</v>
      </c>
      <c r="X2" s="10">
        <v>423.0</v>
      </c>
      <c r="Y2" s="10">
        <v>676.0</v>
      </c>
      <c r="Z2" s="10">
        <v>670.0</v>
      </c>
      <c r="AA2" s="10">
        <v>637.0</v>
      </c>
      <c r="AB2" s="11" t="s">
        <v>15</v>
      </c>
      <c r="AC2" s="12"/>
    </row>
    <row r="3">
      <c r="A3" s="13" t="s">
        <v>16</v>
      </c>
      <c r="B3" s="14">
        <v>1.0</v>
      </c>
      <c r="C3" s="15">
        <v>1.0</v>
      </c>
      <c r="D3" s="15">
        <v>1.0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11.0</v>
      </c>
      <c r="P3" s="16" t="s">
        <v>17</v>
      </c>
      <c r="Q3" s="17">
        <v>10.0</v>
      </c>
      <c r="R3" s="18">
        <v>7.0</v>
      </c>
      <c r="S3" s="18">
        <v>9.0</v>
      </c>
      <c r="T3" s="18">
        <v>9.0</v>
      </c>
      <c r="U3" s="18">
        <v>10.0</v>
      </c>
      <c r="V3" s="19">
        <v>7.0</v>
      </c>
      <c r="W3" s="18">
        <v>8.0</v>
      </c>
      <c r="X3" s="18">
        <v>8.0</v>
      </c>
      <c r="Y3" s="18">
        <v>8.0</v>
      </c>
      <c r="Z3" s="18">
        <v>8.0</v>
      </c>
      <c r="AA3" s="18">
        <v>8.0</v>
      </c>
      <c r="AB3" s="20">
        <f t="shared" ref="AB3:AB9" si="1">SUM(Q3:AA3, )</f>
        <v>92</v>
      </c>
      <c r="AC3" s="21" t="s">
        <v>17</v>
      </c>
    </row>
    <row r="4">
      <c r="A4" s="13" t="s">
        <v>18</v>
      </c>
      <c r="B4" s="14">
        <v>1.0</v>
      </c>
      <c r="C4" s="15">
        <v>1.0</v>
      </c>
      <c r="D4" s="15">
        <v>1.0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11.0</v>
      </c>
      <c r="P4" s="16" t="s">
        <v>19</v>
      </c>
      <c r="Q4" s="17">
        <v>0.0</v>
      </c>
      <c r="R4" s="18">
        <v>2.0</v>
      </c>
      <c r="S4" s="18">
        <v>2.0</v>
      </c>
      <c r="T4" s="18">
        <v>2.0</v>
      </c>
      <c r="U4" s="18">
        <v>2.0</v>
      </c>
      <c r="V4" s="18">
        <v>2.0</v>
      </c>
      <c r="W4" s="18">
        <v>0.0</v>
      </c>
      <c r="X4" s="18">
        <v>2.0</v>
      </c>
      <c r="Y4" s="18">
        <v>1.0</v>
      </c>
      <c r="Z4" s="18">
        <v>0.0</v>
      </c>
      <c r="AA4" s="18">
        <v>2.0</v>
      </c>
      <c r="AB4" s="20">
        <f t="shared" si="1"/>
        <v>15</v>
      </c>
      <c r="AC4" s="21" t="s">
        <v>19</v>
      </c>
    </row>
    <row r="5">
      <c r="A5" s="13" t="s">
        <v>20</v>
      </c>
      <c r="B5" s="14">
        <v>1.0</v>
      </c>
      <c r="C5" s="15">
        <v>1.0</v>
      </c>
      <c r="D5" s="15">
        <v>1.0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11.0</v>
      </c>
      <c r="P5" s="16" t="s">
        <v>21</v>
      </c>
      <c r="Q5" s="17">
        <v>17.0</v>
      </c>
      <c r="R5" s="18">
        <v>12.0</v>
      </c>
      <c r="S5" s="18">
        <v>18.0</v>
      </c>
      <c r="T5" s="18">
        <v>21.0</v>
      </c>
      <c r="U5" s="18">
        <v>19.0</v>
      </c>
      <c r="V5" s="18">
        <v>18.0</v>
      </c>
      <c r="W5" s="18">
        <v>22.0</v>
      </c>
      <c r="X5" s="18">
        <v>16.0</v>
      </c>
      <c r="Y5" s="18">
        <v>21.0</v>
      </c>
      <c r="Z5" s="18">
        <v>23.0</v>
      </c>
      <c r="AA5" s="18">
        <v>25.0</v>
      </c>
      <c r="AB5" s="20">
        <f t="shared" si="1"/>
        <v>212</v>
      </c>
      <c r="AC5" s="21" t="s">
        <v>21</v>
      </c>
    </row>
    <row r="6">
      <c r="A6" s="13" t="s">
        <v>22</v>
      </c>
      <c r="B6" s="14">
        <v>1.0</v>
      </c>
      <c r="C6" s="15">
        <v>1.0</v>
      </c>
      <c r="D6" s="15">
        <v>1.0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11.0</v>
      </c>
      <c r="P6" s="16" t="s">
        <v>23</v>
      </c>
      <c r="Q6" s="17">
        <v>3.0</v>
      </c>
      <c r="R6" s="18">
        <v>3.0</v>
      </c>
      <c r="S6" s="18">
        <v>2.0</v>
      </c>
      <c r="T6" s="18">
        <v>2.0</v>
      </c>
      <c r="U6" s="18">
        <v>2.0</v>
      </c>
      <c r="V6" s="18">
        <v>3.0</v>
      </c>
      <c r="W6" s="18">
        <v>3.0</v>
      </c>
      <c r="X6" s="18">
        <v>3.0</v>
      </c>
      <c r="Y6" s="18">
        <v>3.0</v>
      </c>
      <c r="Z6" s="18">
        <v>3.0</v>
      </c>
      <c r="AA6" s="18">
        <v>3.0</v>
      </c>
      <c r="AB6" s="20">
        <f t="shared" si="1"/>
        <v>30</v>
      </c>
      <c r="AC6" s="21" t="s">
        <v>23</v>
      </c>
    </row>
    <row r="7">
      <c r="A7" s="13" t="s">
        <v>24</v>
      </c>
      <c r="B7" s="14">
        <v>1.0</v>
      </c>
      <c r="C7" s="15">
        <v>1.0</v>
      </c>
      <c r="D7" s="15">
        <v>1.0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0.0</v>
      </c>
      <c r="M7" s="15">
        <v>1.0</v>
      </c>
      <c r="N7" s="15">
        <v>10.0</v>
      </c>
      <c r="P7" s="22" t="s">
        <v>25</v>
      </c>
      <c r="Q7" s="23">
        <f>SUM(Q3:Q6, )</f>
        <v>30</v>
      </c>
      <c r="R7" s="20">
        <f>SUM(R6, R5, R3,R4)</f>
        <v>24</v>
      </c>
      <c r="S7" s="20">
        <f>SUM(S3,S5, S4, S6)</f>
        <v>31</v>
      </c>
      <c r="T7" s="20">
        <f>SUM(T3:T6)</f>
        <v>34</v>
      </c>
      <c r="U7" s="20">
        <f>SUM(U3, U4, U5, U6)</f>
        <v>33</v>
      </c>
      <c r="V7" s="20">
        <f>SUM(V5, V3, V4, V6)</f>
        <v>30</v>
      </c>
      <c r="W7" s="20">
        <f>SUM(W3:W6, )</f>
        <v>33</v>
      </c>
      <c r="X7" s="20">
        <f t="shared" ref="X7:Y7" si="2">SUM(X3, X5, X4, X6)</f>
        <v>29</v>
      </c>
      <c r="Y7" s="20">
        <f t="shared" si="2"/>
        <v>33</v>
      </c>
      <c r="Z7" s="20">
        <f>SUM(Z3:Z6, )</f>
        <v>34</v>
      </c>
      <c r="AA7" s="20">
        <f>SUM(AA3, AA5, AA4, AA6)</f>
        <v>38</v>
      </c>
      <c r="AB7" s="20">
        <f t="shared" si="1"/>
        <v>349</v>
      </c>
      <c r="AC7" s="21" t="s">
        <v>26</v>
      </c>
    </row>
    <row r="8">
      <c r="A8" s="13" t="s">
        <v>27</v>
      </c>
      <c r="B8" s="14">
        <v>1.0</v>
      </c>
      <c r="C8" s="15">
        <v>1.0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>
        <v>1.0</v>
      </c>
      <c r="L8" s="15">
        <v>1.0</v>
      </c>
      <c r="M8" s="15">
        <v>1.0</v>
      </c>
      <c r="N8" s="15">
        <v>11.0</v>
      </c>
      <c r="P8" s="16" t="s">
        <v>28</v>
      </c>
      <c r="Q8" s="17">
        <v>30.0</v>
      </c>
      <c r="R8" s="18">
        <v>25.0</v>
      </c>
      <c r="S8" s="18">
        <v>28.0</v>
      </c>
      <c r="T8" s="18">
        <v>30.0</v>
      </c>
      <c r="U8" s="18">
        <v>30.0</v>
      </c>
      <c r="V8" s="18">
        <v>35.0</v>
      </c>
      <c r="W8" s="18">
        <v>21.0</v>
      </c>
      <c r="X8" s="18">
        <v>19.0</v>
      </c>
      <c r="Y8" s="18">
        <v>25.0</v>
      </c>
      <c r="Z8" s="18">
        <v>23.0</v>
      </c>
      <c r="AA8" s="18">
        <v>23.0</v>
      </c>
      <c r="AB8" s="20">
        <f t="shared" si="1"/>
        <v>289</v>
      </c>
      <c r="AC8" s="21" t="s">
        <v>28</v>
      </c>
    </row>
    <row r="9">
      <c r="A9" s="13" t="s">
        <v>29</v>
      </c>
      <c r="B9" s="14">
        <v>1.0</v>
      </c>
      <c r="C9" s="15">
        <v>1.0</v>
      </c>
      <c r="D9" s="15">
        <v>1.0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11.0</v>
      </c>
      <c r="P9" s="24">
        <v>0.5</v>
      </c>
      <c r="Q9" s="17">
        <v>2.0</v>
      </c>
      <c r="R9" s="18">
        <v>1.0</v>
      </c>
      <c r="S9" s="18">
        <v>2.0</v>
      </c>
      <c r="T9" s="18">
        <v>0.0</v>
      </c>
      <c r="U9" s="18">
        <v>2.0</v>
      </c>
      <c r="V9" s="18">
        <v>0.0</v>
      </c>
      <c r="W9" s="18">
        <v>0.0</v>
      </c>
      <c r="X9" s="18">
        <v>1.0</v>
      </c>
      <c r="Y9" s="18">
        <v>2.0</v>
      </c>
      <c r="Z9" s="18">
        <v>2.0</v>
      </c>
      <c r="AA9" s="18">
        <v>1.0</v>
      </c>
      <c r="AB9" s="20">
        <f t="shared" si="1"/>
        <v>13</v>
      </c>
      <c r="AC9" s="25">
        <v>0.5</v>
      </c>
    </row>
    <row r="10">
      <c r="A10" s="13" t="s">
        <v>30</v>
      </c>
      <c r="B10" s="14">
        <v>1.0</v>
      </c>
      <c r="C10" s="15">
        <v>1.0</v>
      </c>
      <c r="D10" s="15">
        <v>1.0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11.0</v>
      </c>
      <c r="P10" s="24">
        <v>5.56</v>
      </c>
      <c r="Q10" s="18">
        <v>0.0</v>
      </c>
      <c r="R10" s="18">
        <v>1.0</v>
      </c>
      <c r="S10" s="18">
        <v>0.0</v>
      </c>
      <c r="T10" s="18">
        <v>0.0</v>
      </c>
      <c r="U10" s="18">
        <v>0.0</v>
      </c>
      <c r="V10" s="18">
        <v>1.0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20">
        <f>SUM(Q10:X10)</f>
        <v>2</v>
      </c>
      <c r="AC10" s="25">
        <v>5.56</v>
      </c>
    </row>
    <row r="11">
      <c r="A11" s="13" t="s">
        <v>31</v>
      </c>
      <c r="B11" s="14">
        <v>1.0</v>
      </c>
      <c r="C11" s="15">
        <v>1.0</v>
      </c>
      <c r="D11" s="15">
        <v>1.0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11.0</v>
      </c>
      <c r="P11" s="16" t="s">
        <v>32</v>
      </c>
      <c r="Q11" s="18">
        <v>6.0</v>
      </c>
      <c r="R11" s="18">
        <v>17.0</v>
      </c>
      <c r="S11" s="18">
        <v>0.0</v>
      </c>
      <c r="T11" s="18">
        <v>6.0</v>
      </c>
      <c r="U11" s="18">
        <v>1.0</v>
      </c>
      <c r="V11" s="18">
        <v>3.0</v>
      </c>
      <c r="W11" s="18">
        <v>0.0</v>
      </c>
      <c r="X11" s="18">
        <v>1.0</v>
      </c>
      <c r="Y11" s="18">
        <v>0.0</v>
      </c>
      <c r="Z11" s="18">
        <v>0.0</v>
      </c>
      <c r="AA11" s="18">
        <v>0.0</v>
      </c>
      <c r="AB11" s="20">
        <f t="shared" ref="AB11:AB13" si="3">SUM(Q11:AA11, )</f>
        <v>34</v>
      </c>
      <c r="AC11" s="21" t="s">
        <v>32</v>
      </c>
    </row>
    <row r="12">
      <c r="A12" s="13" t="s">
        <v>33</v>
      </c>
      <c r="B12" s="14">
        <v>1.0</v>
      </c>
      <c r="C12" s="15">
        <v>1.0</v>
      </c>
      <c r="D12" s="15">
        <v>1.0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11.0</v>
      </c>
      <c r="P12" s="16" t="s">
        <v>34</v>
      </c>
      <c r="Q12" s="18">
        <v>0.0</v>
      </c>
      <c r="R12" s="18">
        <v>6.0</v>
      </c>
      <c r="S12" s="18">
        <v>0.0</v>
      </c>
      <c r="T12" s="18">
        <v>9.0</v>
      </c>
      <c r="U12" s="18">
        <v>12.0</v>
      </c>
      <c r="V12" s="18">
        <v>7.0</v>
      </c>
      <c r="W12" s="18">
        <v>11.0</v>
      </c>
      <c r="X12" s="18">
        <v>7.0</v>
      </c>
      <c r="Y12" s="18">
        <v>11.0</v>
      </c>
      <c r="Z12" s="18">
        <v>8.0</v>
      </c>
      <c r="AA12" s="18">
        <v>0.0</v>
      </c>
      <c r="AB12" s="20">
        <f t="shared" si="3"/>
        <v>71</v>
      </c>
      <c r="AC12" s="21" t="s">
        <v>34</v>
      </c>
    </row>
    <row r="13">
      <c r="A13" s="26" t="s">
        <v>35</v>
      </c>
      <c r="B13" s="14">
        <v>2.0</v>
      </c>
      <c r="C13" s="15">
        <v>1.0</v>
      </c>
      <c r="D13" s="15">
        <v>1.0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11.0</v>
      </c>
      <c r="P13" s="16" t="s">
        <v>36</v>
      </c>
      <c r="Q13" s="17">
        <v>6.0</v>
      </c>
      <c r="R13" s="18">
        <v>6.0</v>
      </c>
      <c r="S13" s="18">
        <v>6.0</v>
      </c>
      <c r="T13" s="18">
        <v>6.0</v>
      </c>
      <c r="U13" s="18">
        <v>6.0</v>
      </c>
      <c r="V13" s="18">
        <v>6.0</v>
      </c>
      <c r="W13" s="18">
        <v>6.0</v>
      </c>
      <c r="X13" s="18">
        <v>6.0</v>
      </c>
      <c r="Y13" s="18">
        <v>5.0</v>
      </c>
      <c r="Z13" s="18">
        <v>6.0</v>
      </c>
      <c r="AA13" s="18">
        <v>6.0</v>
      </c>
      <c r="AB13" s="20">
        <f t="shared" si="3"/>
        <v>65</v>
      </c>
      <c r="AC13" s="21" t="s">
        <v>36</v>
      </c>
    </row>
    <row r="14">
      <c r="A14" s="13" t="s">
        <v>37</v>
      </c>
      <c r="B14" s="14">
        <v>1.0</v>
      </c>
      <c r="C14" s="15">
        <v>1.0</v>
      </c>
      <c r="D14" s="15">
        <v>1.0</v>
      </c>
      <c r="E14" s="15">
        <v>1.0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1.0</v>
      </c>
      <c r="M14" s="15">
        <v>1.0</v>
      </c>
      <c r="N14" s="15">
        <v>11.0</v>
      </c>
      <c r="P14" s="16" t="s">
        <v>38</v>
      </c>
      <c r="Q14" s="17">
        <v>0.0</v>
      </c>
      <c r="R14" s="18">
        <v>0.0</v>
      </c>
      <c r="S14" s="18">
        <v>0.0</v>
      </c>
      <c r="T14" s="18">
        <v>0.0</v>
      </c>
      <c r="U14" s="18">
        <v>0.0</v>
      </c>
      <c r="V14" s="18">
        <v>0.0</v>
      </c>
      <c r="W14" s="18">
        <v>0.0</v>
      </c>
      <c r="X14" s="18">
        <v>0.0</v>
      </c>
      <c r="Y14" s="9"/>
      <c r="Z14" s="18">
        <v>0.0</v>
      </c>
      <c r="AA14" s="18">
        <v>0.0</v>
      </c>
      <c r="AB14" s="20">
        <f>SUM(Q14:X14)</f>
        <v>0</v>
      </c>
      <c r="AC14" s="21" t="s">
        <v>38</v>
      </c>
    </row>
    <row r="15">
      <c r="A15" s="13" t="s">
        <v>39</v>
      </c>
      <c r="B15" s="14">
        <v>1.0</v>
      </c>
      <c r="C15" s="15">
        <v>1.0</v>
      </c>
      <c r="D15" s="15">
        <v>1.0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11.0</v>
      </c>
      <c r="P15" s="16" t="s">
        <v>40</v>
      </c>
      <c r="Q15" s="17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v>0.0</v>
      </c>
      <c r="AA15" s="18">
        <v>0.0</v>
      </c>
      <c r="AB15" s="20">
        <f t="shared" ref="AB15:AB16" si="4">SUM(Q15:AA15, )</f>
        <v>0</v>
      </c>
      <c r="AC15" s="21" t="s">
        <v>40</v>
      </c>
    </row>
    <row r="16">
      <c r="A16" s="13" t="s">
        <v>41</v>
      </c>
      <c r="B16" s="14">
        <v>1.0</v>
      </c>
      <c r="C16" s="15">
        <v>1.0</v>
      </c>
      <c r="D16" s="15">
        <v>1.0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11.0</v>
      </c>
      <c r="P16" s="21" t="s">
        <v>42</v>
      </c>
      <c r="Q16" s="18">
        <v>0.0</v>
      </c>
      <c r="R16" s="18">
        <v>4.0</v>
      </c>
      <c r="S16" s="18">
        <v>0.0</v>
      </c>
      <c r="T16" s="18">
        <v>1.0</v>
      </c>
      <c r="U16" s="18">
        <v>1.0</v>
      </c>
      <c r="V16" s="18">
        <v>0.0</v>
      </c>
      <c r="W16" s="18">
        <v>0.0</v>
      </c>
      <c r="X16" s="18">
        <v>4.0</v>
      </c>
      <c r="Y16" s="18">
        <v>7.0</v>
      </c>
      <c r="Z16" s="18">
        <v>6.0</v>
      </c>
      <c r="AA16" s="18">
        <v>7.0</v>
      </c>
      <c r="AB16" s="20">
        <f t="shared" si="4"/>
        <v>30</v>
      </c>
      <c r="AC16" s="21" t="s">
        <v>42</v>
      </c>
    </row>
    <row r="17">
      <c r="A17" s="13" t="s">
        <v>43</v>
      </c>
      <c r="B17" s="14">
        <v>2.0</v>
      </c>
      <c r="C17" s="15">
        <v>2.0</v>
      </c>
      <c r="D17" s="15">
        <v>2.0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22.0</v>
      </c>
      <c r="P17" s="21" t="s">
        <v>44</v>
      </c>
      <c r="Q17" s="9" t="s">
        <v>45</v>
      </c>
      <c r="R17" s="9" t="s">
        <v>45</v>
      </c>
      <c r="S17" s="9" t="s">
        <v>45</v>
      </c>
      <c r="T17" s="9" t="s">
        <v>46</v>
      </c>
      <c r="U17" s="9" t="s">
        <v>45</v>
      </c>
      <c r="V17" s="9" t="s">
        <v>45</v>
      </c>
      <c r="W17" s="18">
        <v>0.0</v>
      </c>
      <c r="X17" s="9" t="s">
        <v>45</v>
      </c>
      <c r="Y17" s="9" t="s">
        <v>45</v>
      </c>
      <c r="Z17" s="9" t="s">
        <v>45</v>
      </c>
      <c r="AA17" s="9" t="s">
        <v>47</v>
      </c>
      <c r="AB17" s="20">
        <v>11.0</v>
      </c>
      <c r="AC17" s="21" t="s">
        <v>44</v>
      </c>
    </row>
    <row r="18">
      <c r="A18" s="13" t="s">
        <v>48</v>
      </c>
      <c r="B18" s="14">
        <v>1.0</v>
      </c>
      <c r="C18" s="15">
        <v>1.0</v>
      </c>
      <c r="D18" s="15">
        <v>1.0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11.0</v>
      </c>
      <c r="P18" s="16" t="s">
        <v>49</v>
      </c>
      <c r="Q18" s="17">
        <v>1.0</v>
      </c>
      <c r="R18" s="17">
        <v>1.0</v>
      </c>
      <c r="S18" s="17">
        <v>1.0</v>
      </c>
      <c r="T18" s="17">
        <v>1.0</v>
      </c>
      <c r="U18" s="17">
        <v>1.0</v>
      </c>
      <c r="V18" s="17">
        <v>1.0</v>
      </c>
      <c r="W18" s="17">
        <v>0.0</v>
      </c>
      <c r="X18" s="17">
        <v>0.0</v>
      </c>
      <c r="Y18" s="17">
        <v>1.0</v>
      </c>
      <c r="Z18" s="17">
        <v>1.0</v>
      </c>
      <c r="AA18" s="17">
        <v>1.0</v>
      </c>
      <c r="AB18" s="23">
        <f>SUM(Q18:AA18, )</f>
        <v>9</v>
      </c>
      <c r="AC18" s="16" t="s">
        <v>49</v>
      </c>
    </row>
    <row r="19">
      <c r="A19" s="13" t="s">
        <v>50</v>
      </c>
      <c r="B19" s="14">
        <v>9.0</v>
      </c>
      <c r="C19" s="15">
        <v>9.0</v>
      </c>
      <c r="D19" s="15">
        <v>9.0</v>
      </c>
      <c r="E19" s="15">
        <v>9.0</v>
      </c>
      <c r="F19" s="15">
        <v>9.0</v>
      </c>
      <c r="G19" s="15">
        <v>8.0</v>
      </c>
      <c r="H19" s="15">
        <v>8.0</v>
      </c>
      <c r="I19" s="15">
        <v>9.0</v>
      </c>
      <c r="J19" s="15">
        <v>9.0</v>
      </c>
      <c r="K19" s="15">
        <v>9.0</v>
      </c>
      <c r="L19" s="15">
        <v>9.0</v>
      </c>
      <c r="M19" s="15">
        <v>9.0</v>
      </c>
      <c r="N19" s="15">
        <v>97.0</v>
      </c>
      <c r="P19" s="27"/>
      <c r="Q19" s="8" t="s">
        <v>3</v>
      </c>
      <c r="R19" s="28" t="s">
        <v>4</v>
      </c>
      <c r="S19" s="28" t="s">
        <v>5</v>
      </c>
      <c r="T19" s="28" t="s">
        <v>6</v>
      </c>
      <c r="U19" s="28" t="s">
        <v>7</v>
      </c>
      <c r="V19" s="28" t="s">
        <v>8</v>
      </c>
      <c r="W19" s="28" t="s">
        <v>9</v>
      </c>
      <c r="X19" s="28" t="s">
        <v>10</v>
      </c>
      <c r="Y19" s="28" t="s">
        <v>11</v>
      </c>
      <c r="Z19" s="28" t="s">
        <v>12</v>
      </c>
      <c r="AA19" s="28" t="s">
        <v>13</v>
      </c>
      <c r="AB19" s="28" t="s">
        <v>14</v>
      </c>
      <c r="AC19" s="8" t="s">
        <v>15</v>
      </c>
    </row>
    <row r="20">
      <c r="A20" s="29" t="s">
        <v>51</v>
      </c>
      <c r="B20" s="14">
        <v>1.0</v>
      </c>
      <c r="C20" s="30">
        <v>1.0</v>
      </c>
      <c r="D20" s="30">
        <v>1.0</v>
      </c>
      <c r="E20" s="30">
        <v>1.0</v>
      </c>
      <c r="F20" s="30">
        <v>1.0</v>
      </c>
      <c r="G20" s="30">
        <v>1.0</v>
      </c>
      <c r="H20" s="30">
        <v>1.0</v>
      </c>
      <c r="I20" s="30">
        <v>1.0</v>
      </c>
      <c r="J20" s="30">
        <v>1.0</v>
      </c>
      <c r="K20" s="30">
        <v>1.0</v>
      </c>
      <c r="L20" s="30">
        <v>1.0</v>
      </c>
      <c r="M20" s="30">
        <v>1.0</v>
      </c>
      <c r="N20" s="15">
        <v>11.0</v>
      </c>
      <c r="P20" s="31" t="s">
        <v>52</v>
      </c>
      <c r="Q20" s="15">
        <v>3.0</v>
      </c>
      <c r="R20" s="15">
        <v>3.0</v>
      </c>
      <c r="S20" s="32">
        <v>3.0</v>
      </c>
      <c r="T20" s="32">
        <v>2.0</v>
      </c>
      <c r="U20" s="32">
        <v>3.0</v>
      </c>
      <c r="V20" s="32">
        <v>2.0</v>
      </c>
      <c r="W20" s="32">
        <v>2.0</v>
      </c>
      <c r="X20" s="32">
        <v>2.0</v>
      </c>
      <c r="Y20" s="32">
        <v>2.0</v>
      </c>
      <c r="Z20" s="32">
        <v>3.0</v>
      </c>
      <c r="AA20" s="32">
        <v>2.0</v>
      </c>
      <c r="AB20" s="32">
        <v>2.0</v>
      </c>
      <c r="AC20" s="32">
        <v>26.0</v>
      </c>
    </row>
    <row r="21">
      <c r="A21" s="29" t="s">
        <v>53</v>
      </c>
      <c r="B21" s="14">
        <v>1.0</v>
      </c>
      <c r="C21" s="15">
        <v>1.0</v>
      </c>
      <c r="D21" s="15">
        <v>1.0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11.0</v>
      </c>
      <c r="P21" s="31" t="s">
        <v>54</v>
      </c>
      <c r="Q21" s="15">
        <v>2.0</v>
      </c>
      <c r="R21" s="15">
        <v>3.0</v>
      </c>
      <c r="S21" s="32">
        <v>4.0</v>
      </c>
      <c r="T21" s="32">
        <v>4.0</v>
      </c>
      <c r="U21" s="32">
        <v>2.0</v>
      </c>
      <c r="V21" s="32">
        <v>2.0</v>
      </c>
      <c r="W21" s="32">
        <v>3.0</v>
      </c>
      <c r="X21" s="32">
        <v>2.0</v>
      </c>
      <c r="Y21" s="32">
        <v>2.0</v>
      </c>
      <c r="Z21" s="32">
        <v>3.0</v>
      </c>
      <c r="AA21" s="32">
        <v>2.0</v>
      </c>
      <c r="AB21" s="32">
        <v>3.0</v>
      </c>
      <c r="AC21" s="32">
        <v>30.0</v>
      </c>
    </row>
    <row r="22">
      <c r="A22" s="29" t="s">
        <v>55</v>
      </c>
      <c r="B22" s="14">
        <v>1.0</v>
      </c>
      <c r="C22" s="15">
        <v>1.0</v>
      </c>
      <c r="D22" s="15">
        <v>1.0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11.0</v>
      </c>
      <c r="P22" s="31" t="s">
        <v>56</v>
      </c>
      <c r="Q22" s="15">
        <v>2.0</v>
      </c>
      <c r="R22" s="15">
        <v>2.0</v>
      </c>
      <c r="S22" s="32">
        <v>2.0</v>
      </c>
      <c r="T22" s="32">
        <v>2.0</v>
      </c>
      <c r="U22" s="32">
        <v>2.0</v>
      </c>
      <c r="V22" s="32">
        <v>2.0</v>
      </c>
      <c r="W22" s="32">
        <v>2.0</v>
      </c>
      <c r="X22" s="32">
        <v>2.0</v>
      </c>
      <c r="Y22" s="32">
        <v>2.0</v>
      </c>
      <c r="Z22" s="32">
        <v>2.0</v>
      </c>
      <c r="AA22" s="32">
        <v>2.0</v>
      </c>
      <c r="AB22" s="32">
        <v>2.0</v>
      </c>
      <c r="AC22" s="32">
        <v>22.0</v>
      </c>
    </row>
    <row r="23">
      <c r="A23" s="29" t="s">
        <v>57</v>
      </c>
      <c r="B23" s="14">
        <v>1.0</v>
      </c>
      <c r="C23" s="15">
        <v>1.0</v>
      </c>
      <c r="D23" s="15">
        <v>1.0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11.0</v>
      </c>
      <c r="P23" s="31" t="s">
        <v>58</v>
      </c>
      <c r="Q23" s="15">
        <v>2.0</v>
      </c>
      <c r="R23" s="15">
        <v>2.0</v>
      </c>
      <c r="S23" s="15">
        <v>2.0</v>
      </c>
      <c r="T23" s="32">
        <v>2.0</v>
      </c>
      <c r="U23" s="32">
        <v>2.0</v>
      </c>
      <c r="V23" s="32">
        <v>2.0</v>
      </c>
      <c r="W23" s="32">
        <v>2.0</v>
      </c>
      <c r="X23" s="32">
        <v>2.0</v>
      </c>
      <c r="Y23" s="32">
        <v>2.0</v>
      </c>
      <c r="Z23" s="32">
        <v>2.0</v>
      </c>
      <c r="AA23" s="32">
        <v>0.0</v>
      </c>
      <c r="AB23" s="32">
        <v>2.0</v>
      </c>
      <c r="AC23" s="32">
        <v>20.0</v>
      </c>
      <c r="AD23" s="32"/>
    </row>
    <row r="24">
      <c r="A24" s="29" t="s">
        <v>59</v>
      </c>
      <c r="B24" s="14">
        <v>1.0</v>
      </c>
      <c r="C24" s="15">
        <v>1.0</v>
      </c>
      <c r="D24" s="15">
        <v>1.0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11.0</v>
      </c>
      <c r="P24" s="31" t="s">
        <v>60</v>
      </c>
      <c r="Q24" s="15">
        <v>1.0</v>
      </c>
      <c r="R24" s="15">
        <v>1.0</v>
      </c>
      <c r="S24" s="32">
        <v>1.0</v>
      </c>
      <c r="T24" s="32">
        <v>1.0</v>
      </c>
      <c r="U24" s="32">
        <v>1.0</v>
      </c>
      <c r="V24" s="32">
        <v>1.0</v>
      </c>
      <c r="W24" s="32">
        <v>1.0</v>
      </c>
      <c r="X24" s="32">
        <v>1.0</v>
      </c>
      <c r="Y24" s="32">
        <v>1.0</v>
      </c>
      <c r="Z24" s="32">
        <v>1.0</v>
      </c>
      <c r="AA24" s="32">
        <v>1.0</v>
      </c>
      <c r="AB24" s="32">
        <v>1.0</v>
      </c>
      <c r="AC24" s="32">
        <v>11.0</v>
      </c>
    </row>
    <row r="25">
      <c r="A25" s="29" t="s">
        <v>61</v>
      </c>
      <c r="B25" s="14">
        <v>1.0</v>
      </c>
      <c r="C25" s="15">
        <v>1.0</v>
      </c>
      <c r="D25" s="15">
        <v>1.0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0.0</v>
      </c>
      <c r="L25" s="15">
        <v>1.0</v>
      </c>
      <c r="M25" s="15">
        <v>1.0</v>
      </c>
      <c r="N25" s="15">
        <v>10.0</v>
      </c>
      <c r="P25" s="33"/>
      <c r="Q25" s="34"/>
      <c r="R25" s="34"/>
      <c r="S25" s="34"/>
    </row>
    <row r="26">
      <c r="A26" s="29" t="s">
        <v>62</v>
      </c>
      <c r="B26" s="14">
        <v>1.0</v>
      </c>
      <c r="C26" s="15">
        <v>1.0</v>
      </c>
      <c r="D26" s="15">
        <v>1.0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11.0</v>
      </c>
      <c r="P26" s="35" t="s">
        <v>63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9" t="s">
        <v>64</v>
      </c>
      <c r="B27" s="14">
        <v>1.0</v>
      </c>
      <c r="C27" s="36">
        <v>1.0</v>
      </c>
      <c r="D27" s="36">
        <v>1.0</v>
      </c>
      <c r="E27" s="36">
        <v>1.0</v>
      </c>
      <c r="F27" s="36">
        <v>1.0</v>
      </c>
      <c r="G27" s="36">
        <v>1.0</v>
      </c>
      <c r="H27" s="36">
        <v>1.0</v>
      </c>
      <c r="I27" s="36">
        <v>1.0</v>
      </c>
      <c r="J27" s="36">
        <v>1.0</v>
      </c>
      <c r="K27" s="36">
        <v>1.0</v>
      </c>
      <c r="L27" s="36">
        <v>1.0</v>
      </c>
      <c r="M27" s="36">
        <v>1.0</v>
      </c>
      <c r="N27" s="15">
        <v>11.0</v>
      </c>
      <c r="P27" s="37"/>
      <c r="Q27" s="8" t="s">
        <v>3</v>
      </c>
      <c r="R27" s="8" t="s">
        <v>4</v>
      </c>
      <c r="S27" s="8" t="s">
        <v>5</v>
      </c>
      <c r="T27" s="8" t="s">
        <v>6</v>
      </c>
      <c r="U27" s="8" t="s">
        <v>7</v>
      </c>
      <c r="V27" s="8" t="s">
        <v>8</v>
      </c>
      <c r="W27" s="8" t="s">
        <v>9</v>
      </c>
      <c r="X27" s="8" t="s">
        <v>10</v>
      </c>
      <c r="Y27" s="8" t="s">
        <v>11</v>
      </c>
      <c r="Z27" s="8" t="s">
        <v>12</v>
      </c>
      <c r="AA27" s="8" t="s">
        <v>13</v>
      </c>
      <c r="AB27" s="8" t="s">
        <v>14</v>
      </c>
      <c r="AC27" s="38" t="s">
        <v>26</v>
      </c>
    </row>
    <row r="28">
      <c r="A28" s="29" t="s">
        <v>65</v>
      </c>
      <c r="B28" s="14">
        <v>1.0</v>
      </c>
      <c r="C28" s="15">
        <v>1.0</v>
      </c>
      <c r="D28" s="15">
        <v>1.0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11.0</v>
      </c>
      <c r="P28" s="39" t="s">
        <v>66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40">
        <v>1.0</v>
      </c>
    </row>
    <row r="29">
      <c r="A29" s="29" t="s">
        <v>67</v>
      </c>
      <c r="B29" s="14">
        <v>1.0</v>
      </c>
      <c r="C29" s="15">
        <v>1.0</v>
      </c>
      <c r="D29" s="15">
        <v>1.0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11.0</v>
      </c>
      <c r="P29" s="39" t="s">
        <v>68</v>
      </c>
      <c r="Q29" s="32">
        <v>5.0</v>
      </c>
      <c r="R29" s="41">
        <v>5.0</v>
      </c>
      <c r="S29" s="41">
        <v>5.0</v>
      </c>
      <c r="T29" s="41">
        <v>5.0</v>
      </c>
      <c r="U29" s="41">
        <v>5.0</v>
      </c>
      <c r="V29" s="41">
        <v>5.0</v>
      </c>
      <c r="W29" s="41">
        <v>5.0</v>
      </c>
      <c r="X29" s="41">
        <v>5.0</v>
      </c>
      <c r="Y29" s="41">
        <v>5.0</v>
      </c>
      <c r="Z29" s="41">
        <v>5.0</v>
      </c>
      <c r="AA29" s="41">
        <v>5.0</v>
      </c>
      <c r="AB29" s="41">
        <v>5.0</v>
      </c>
      <c r="AC29" s="40">
        <v>55.0</v>
      </c>
    </row>
    <row r="30">
      <c r="A30" s="29" t="s">
        <v>69</v>
      </c>
      <c r="B30" s="14">
        <v>1.0</v>
      </c>
      <c r="C30" s="15">
        <v>1.0</v>
      </c>
      <c r="D30" s="15">
        <v>1.0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11.0</v>
      </c>
      <c r="P30" s="39" t="s">
        <v>70</v>
      </c>
      <c r="Q30" s="32">
        <v>5.0</v>
      </c>
      <c r="R30" s="41">
        <v>5.0</v>
      </c>
      <c r="S30" s="41">
        <v>5.0</v>
      </c>
      <c r="T30" s="41">
        <v>5.0</v>
      </c>
      <c r="U30" s="41">
        <v>5.0</v>
      </c>
      <c r="V30" s="41">
        <v>5.0</v>
      </c>
      <c r="W30" s="41">
        <v>5.0</v>
      </c>
      <c r="X30" s="41">
        <v>5.0</v>
      </c>
      <c r="Y30" s="41">
        <v>5.0</v>
      </c>
      <c r="Z30" s="41">
        <v>5.0</v>
      </c>
      <c r="AA30" s="41">
        <v>5.0</v>
      </c>
      <c r="AB30" s="41">
        <v>5.0</v>
      </c>
      <c r="AC30" s="40">
        <v>55.0</v>
      </c>
    </row>
    <row r="31">
      <c r="A31" s="29" t="s">
        <v>71</v>
      </c>
      <c r="B31" s="14">
        <v>1.0</v>
      </c>
      <c r="C31" s="15">
        <v>1.0</v>
      </c>
      <c r="D31" s="15">
        <v>1.0</v>
      </c>
      <c r="E31" s="15">
        <v>1.0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1.0</v>
      </c>
      <c r="M31" s="15">
        <v>1.0</v>
      </c>
      <c r="N31" s="15">
        <v>11.0</v>
      </c>
      <c r="P31" s="39" t="s">
        <v>72</v>
      </c>
      <c r="Q31" s="32">
        <v>1.0</v>
      </c>
      <c r="R31" s="41">
        <v>1.0</v>
      </c>
      <c r="S31" s="41">
        <v>1.0</v>
      </c>
      <c r="T31" s="41">
        <v>1.0</v>
      </c>
      <c r="U31" s="41">
        <v>1.0</v>
      </c>
      <c r="V31" s="41">
        <v>1.0</v>
      </c>
      <c r="W31" s="41">
        <v>1.0</v>
      </c>
      <c r="X31" s="41">
        <v>1.0</v>
      </c>
      <c r="Y31" s="41">
        <v>1.0</v>
      </c>
      <c r="Z31" s="41">
        <v>1.0</v>
      </c>
      <c r="AA31" s="41">
        <v>1.0</v>
      </c>
      <c r="AB31" s="41">
        <v>1.0</v>
      </c>
      <c r="AC31" s="40">
        <v>11.0</v>
      </c>
    </row>
    <row r="32">
      <c r="A32" s="29" t="s">
        <v>73</v>
      </c>
      <c r="B32" s="14">
        <v>1.0</v>
      </c>
      <c r="C32" s="15">
        <v>1.0</v>
      </c>
      <c r="D32" s="15">
        <v>1.0</v>
      </c>
      <c r="E32" s="15">
        <v>1.0</v>
      </c>
      <c r="F32" s="15">
        <v>1.0</v>
      </c>
      <c r="G32" s="15">
        <v>1.0</v>
      </c>
      <c r="H32" s="15">
        <v>1.0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11.0</v>
      </c>
      <c r="P32" s="39" t="s">
        <v>74</v>
      </c>
      <c r="Q32" s="32">
        <v>1.0</v>
      </c>
      <c r="R32" s="41">
        <v>1.0</v>
      </c>
      <c r="S32" s="41">
        <v>1.0</v>
      </c>
      <c r="T32" s="41">
        <v>1.0</v>
      </c>
      <c r="U32" s="41">
        <v>1.0</v>
      </c>
      <c r="V32" s="41">
        <v>1.0</v>
      </c>
      <c r="W32" s="41">
        <v>1.0</v>
      </c>
      <c r="X32" s="41">
        <v>1.0</v>
      </c>
      <c r="Y32" s="41">
        <v>1.0</v>
      </c>
      <c r="Z32" s="41">
        <v>1.0</v>
      </c>
      <c r="AA32" s="41">
        <v>1.0</v>
      </c>
      <c r="AB32" s="41">
        <v>1.0</v>
      </c>
      <c r="AC32" s="40">
        <v>11.0</v>
      </c>
    </row>
    <row r="33">
      <c r="A33" s="29" t="s">
        <v>75</v>
      </c>
      <c r="B33" s="14">
        <v>1.0</v>
      </c>
      <c r="C33" s="15">
        <v>1.0</v>
      </c>
      <c r="D33" s="15">
        <v>1.0</v>
      </c>
      <c r="E33" s="15">
        <v>1.0</v>
      </c>
      <c r="F33" s="15">
        <v>1.0</v>
      </c>
      <c r="G33" s="15">
        <v>1.0</v>
      </c>
      <c r="H33" s="15">
        <v>1.0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11.0</v>
      </c>
      <c r="P33" s="39" t="s">
        <v>76</v>
      </c>
      <c r="Q33" s="32">
        <v>1.0</v>
      </c>
      <c r="R33" s="41">
        <v>1.0</v>
      </c>
      <c r="S33" s="41">
        <v>1.0</v>
      </c>
      <c r="T33" s="41">
        <v>1.0</v>
      </c>
      <c r="U33" s="41">
        <v>1.0</v>
      </c>
      <c r="V33" s="41">
        <v>1.0</v>
      </c>
      <c r="W33" s="41">
        <v>1.0</v>
      </c>
      <c r="X33" s="41">
        <v>1.0</v>
      </c>
      <c r="Y33" s="41">
        <v>1.0</v>
      </c>
      <c r="Z33" s="41">
        <v>1.0</v>
      </c>
      <c r="AA33" s="41">
        <v>1.0</v>
      </c>
      <c r="AB33" s="41">
        <v>1.0</v>
      </c>
      <c r="AC33" s="40">
        <v>11.0</v>
      </c>
    </row>
    <row r="34">
      <c r="A34" s="29" t="s">
        <v>77</v>
      </c>
      <c r="B34" s="14">
        <v>1.0</v>
      </c>
      <c r="C34" s="15">
        <v>1.0</v>
      </c>
      <c r="D34" s="15">
        <v>1.0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1.0</v>
      </c>
      <c r="M34" s="15">
        <v>1.0</v>
      </c>
      <c r="N34" s="15">
        <v>11.0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29" t="s">
        <v>78</v>
      </c>
      <c r="B35" s="14">
        <v>1.0</v>
      </c>
      <c r="C35" s="15">
        <v>1.0</v>
      </c>
      <c r="D35" s="15">
        <v>1.0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11.0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29" t="s">
        <v>79</v>
      </c>
      <c r="B36" s="14">
        <v>1.0</v>
      </c>
      <c r="C36" s="15">
        <v>1.0</v>
      </c>
      <c r="D36" s="15">
        <v>1.0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11.0</v>
      </c>
      <c r="P36" s="4" t="s">
        <v>80</v>
      </c>
      <c r="Q36" s="5"/>
      <c r="R36" s="5"/>
      <c r="S36" s="6"/>
      <c r="W36" s="4" t="s">
        <v>81</v>
      </c>
      <c r="X36" s="5"/>
      <c r="Y36" s="6"/>
      <c r="AA36" s="42"/>
    </row>
    <row r="37">
      <c r="A37" s="29" t="s">
        <v>82</v>
      </c>
      <c r="B37" s="14">
        <v>1.0</v>
      </c>
      <c r="C37" s="15">
        <v>1.0</v>
      </c>
      <c r="D37" s="15">
        <v>1.0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1.0</v>
      </c>
      <c r="M37" s="15">
        <v>1.0</v>
      </c>
      <c r="N37" s="15">
        <v>11.0</v>
      </c>
      <c r="P37" s="27" t="s">
        <v>83</v>
      </c>
      <c r="Q37" s="27" t="s">
        <v>84</v>
      </c>
      <c r="R37" s="27" t="s">
        <v>85</v>
      </c>
      <c r="S37" s="27" t="s">
        <v>86</v>
      </c>
      <c r="W37" s="27" t="s">
        <v>87</v>
      </c>
      <c r="X37" s="27" t="s">
        <v>85</v>
      </c>
      <c r="Y37" s="27" t="s">
        <v>88</v>
      </c>
      <c r="AA37" s="42"/>
    </row>
    <row r="38">
      <c r="A38" s="29" t="s">
        <v>89</v>
      </c>
      <c r="B38" s="14">
        <v>1.0</v>
      </c>
      <c r="C38" s="15">
        <v>1.0</v>
      </c>
      <c r="D38" s="15">
        <v>1.0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5">
        <v>1.0</v>
      </c>
      <c r="N38" s="15">
        <v>11.0</v>
      </c>
      <c r="P38" s="31" t="s">
        <v>90</v>
      </c>
      <c r="Q38" s="43">
        <v>496263.0</v>
      </c>
      <c r="R38" s="44" t="s">
        <v>91</v>
      </c>
      <c r="S38" s="45"/>
      <c r="W38" s="31" t="s">
        <v>92</v>
      </c>
      <c r="X38" s="46"/>
      <c r="Y38" s="46"/>
      <c r="AA38" s="42"/>
    </row>
    <row r="39">
      <c r="A39" s="29" t="s">
        <v>93</v>
      </c>
      <c r="B39" s="14">
        <v>1.0</v>
      </c>
      <c r="C39" s="15">
        <v>1.0</v>
      </c>
      <c r="D39" s="15">
        <v>1.0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  <c r="K39" s="15">
        <v>1.0</v>
      </c>
      <c r="L39" s="15">
        <v>1.0</v>
      </c>
      <c r="M39" s="15">
        <v>1.0</v>
      </c>
      <c r="N39" s="15">
        <v>11.0</v>
      </c>
      <c r="P39" s="31" t="s">
        <v>90</v>
      </c>
      <c r="Q39" s="43">
        <v>496109.0</v>
      </c>
      <c r="R39" s="44" t="s">
        <v>94</v>
      </c>
      <c r="S39" s="45"/>
      <c r="W39" s="31" t="s">
        <v>95</v>
      </c>
      <c r="X39" s="46"/>
      <c r="Y39" s="46"/>
      <c r="AA39" s="42"/>
    </row>
    <row r="40">
      <c r="A40" s="29" t="s">
        <v>96</v>
      </c>
      <c r="B40" s="14">
        <v>1.0</v>
      </c>
      <c r="C40" s="15">
        <v>1.0</v>
      </c>
      <c r="D40" s="15">
        <v>1.0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11.0</v>
      </c>
      <c r="P40" s="31" t="s">
        <v>90</v>
      </c>
      <c r="Q40" s="43">
        <v>557120.0</v>
      </c>
      <c r="R40" s="44" t="s">
        <v>97</v>
      </c>
      <c r="S40" s="45"/>
      <c r="AA40" s="42"/>
    </row>
    <row r="41">
      <c r="A41" s="29" t="s">
        <v>98</v>
      </c>
      <c r="B41" s="14">
        <v>1.0</v>
      </c>
      <c r="C41" s="15">
        <v>1.0</v>
      </c>
      <c r="D41" s="15">
        <v>1.0</v>
      </c>
      <c r="E41" s="15">
        <v>1.0</v>
      </c>
      <c r="F41" s="15">
        <v>1.0</v>
      </c>
      <c r="G41" s="15">
        <v>1.0</v>
      </c>
      <c r="H41" s="15">
        <v>1.0</v>
      </c>
      <c r="I41" s="15">
        <v>1.0</v>
      </c>
      <c r="J41" s="15">
        <v>1.0</v>
      </c>
      <c r="K41" s="15">
        <v>1.0</v>
      </c>
      <c r="L41" s="15">
        <v>1.0</v>
      </c>
      <c r="M41" s="15">
        <v>1.0</v>
      </c>
      <c r="N41" s="15">
        <v>11.0</v>
      </c>
      <c r="P41" s="47" t="s">
        <v>90</v>
      </c>
      <c r="Q41" s="43">
        <v>557486.0</v>
      </c>
      <c r="R41" s="44" t="s">
        <v>99</v>
      </c>
      <c r="S41" s="45"/>
      <c r="AA41" s="42"/>
    </row>
    <row r="42">
      <c r="A42" s="29" t="s">
        <v>100</v>
      </c>
      <c r="B42" s="14">
        <v>1.0</v>
      </c>
      <c r="C42" s="15">
        <v>1.0</v>
      </c>
      <c r="D42" s="15">
        <v>1.0</v>
      </c>
      <c r="E42" s="15">
        <v>1.0</v>
      </c>
      <c r="F42" s="15">
        <v>1.0</v>
      </c>
      <c r="G42" s="15">
        <v>1.0</v>
      </c>
      <c r="H42" s="15">
        <v>1.0</v>
      </c>
      <c r="I42" s="15">
        <v>1.0</v>
      </c>
      <c r="J42" s="15">
        <v>1.0</v>
      </c>
      <c r="K42" s="15">
        <v>1.0</v>
      </c>
      <c r="L42" s="15">
        <v>1.0</v>
      </c>
      <c r="M42" s="15">
        <v>1.0</v>
      </c>
      <c r="N42" s="15">
        <v>11.0</v>
      </c>
      <c r="P42" s="47" t="s">
        <v>90</v>
      </c>
      <c r="Q42" s="43">
        <v>542077.0</v>
      </c>
      <c r="R42" s="44" t="s">
        <v>101</v>
      </c>
      <c r="S42" s="45"/>
    </row>
    <row r="43">
      <c r="A43" s="29" t="s">
        <v>102</v>
      </c>
      <c r="B43" s="14">
        <v>1.0</v>
      </c>
      <c r="C43" s="15">
        <v>1.0</v>
      </c>
      <c r="D43" s="15">
        <v>1.0</v>
      </c>
      <c r="E43" s="15">
        <v>1.0</v>
      </c>
      <c r="F43" s="15">
        <v>0.0</v>
      </c>
      <c r="G43" s="15">
        <v>0.0</v>
      </c>
      <c r="H43" s="15">
        <v>1.0</v>
      </c>
      <c r="I43" s="15">
        <v>1.0</v>
      </c>
      <c r="J43" s="15">
        <v>0.0</v>
      </c>
      <c r="K43" s="15">
        <v>1.0</v>
      </c>
      <c r="L43" s="15">
        <v>0.0</v>
      </c>
      <c r="M43" s="15">
        <v>1.0</v>
      </c>
      <c r="N43" s="15">
        <v>7.0</v>
      </c>
      <c r="P43" s="47" t="s">
        <v>90</v>
      </c>
      <c r="Q43" s="43">
        <v>803096.0</v>
      </c>
      <c r="R43" s="44" t="s">
        <v>103</v>
      </c>
      <c r="S43" s="45"/>
    </row>
    <row r="44">
      <c r="A44" s="29" t="s">
        <v>104</v>
      </c>
      <c r="B44" s="14">
        <v>1.0</v>
      </c>
      <c r="C44" s="15">
        <v>1.0</v>
      </c>
      <c r="D44" s="15">
        <v>1.0</v>
      </c>
      <c r="E44" s="15">
        <v>1.0</v>
      </c>
      <c r="F44" s="15">
        <v>1.0</v>
      </c>
      <c r="G44" s="15">
        <v>1.0</v>
      </c>
      <c r="H44" s="15">
        <v>1.0</v>
      </c>
      <c r="I44" s="15">
        <v>1.0</v>
      </c>
      <c r="J44" s="15">
        <v>1.0</v>
      </c>
      <c r="K44" s="15">
        <v>1.0</v>
      </c>
      <c r="L44" s="15">
        <v>1.0</v>
      </c>
      <c r="M44" s="15">
        <v>1.0</v>
      </c>
      <c r="N44" s="15">
        <v>11.0</v>
      </c>
      <c r="P44" s="48"/>
      <c r="Q44" s="45"/>
      <c r="R44" s="45"/>
      <c r="S44" s="45"/>
    </row>
    <row r="45">
      <c r="A45" s="29" t="s">
        <v>105</v>
      </c>
      <c r="B45" s="14">
        <v>1.0</v>
      </c>
      <c r="C45" s="15">
        <v>1.0</v>
      </c>
      <c r="D45" s="15">
        <v>1.0</v>
      </c>
      <c r="E45" s="15">
        <v>1.0</v>
      </c>
      <c r="F45" s="15">
        <v>1.0</v>
      </c>
      <c r="G45" s="15">
        <v>1.0</v>
      </c>
      <c r="H45" s="15">
        <v>1.0</v>
      </c>
      <c r="I45" s="15">
        <v>1.0</v>
      </c>
      <c r="J45" s="15">
        <v>1.0</v>
      </c>
      <c r="K45" s="15">
        <v>1.0</v>
      </c>
      <c r="L45" s="15">
        <v>1.0</v>
      </c>
      <c r="M45" s="15">
        <v>1.0</v>
      </c>
      <c r="N45" s="15">
        <v>11.0</v>
      </c>
    </row>
    <row r="46">
      <c r="A46" s="29" t="s">
        <v>106</v>
      </c>
      <c r="B46" s="14">
        <v>1.0</v>
      </c>
      <c r="C46" s="15">
        <v>1.0</v>
      </c>
      <c r="D46" s="15">
        <v>1.0</v>
      </c>
      <c r="E46" s="15">
        <v>1.0</v>
      </c>
      <c r="F46" s="15">
        <v>1.0</v>
      </c>
      <c r="G46" s="15">
        <v>1.0</v>
      </c>
      <c r="H46" s="15">
        <v>1.0</v>
      </c>
      <c r="I46" s="15">
        <v>1.0</v>
      </c>
      <c r="J46" s="15">
        <v>1.0</v>
      </c>
      <c r="K46" s="15">
        <v>1.0</v>
      </c>
      <c r="L46" s="15">
        <v>1.0</v>
      </c>
      <c r="M46" s="15">
        <v>1.0</v>
      </c>
      <c r="N46" s="15">
        <v>11.0</v>
      </c>
    </row>
    <row r="47">
      <c r="A47" s="29" t="s">
        <v>107</v>
      </c>
      <c r="B47" s="14">
        <v>1.0</v>
      </c>
      <c r="C47" s="15">
        <v>1.0</v>
      </c>
      <c r="D47" s="15">
        <v>1.0</v>
      </c>
      <c r="E47" s="15">
        <v>1.0</v>
      </c>
      <c r="F47" s="15">
        <v>1.0</v>
      </c>
      <c r="G47" s="15">
        <v>1.0</v>
      </c>
      <c r="H47" s="15">
        <v>1.0</v>
      </c>
      <c r="I47" s="15">
        <v>1.0</v>
      </c>
      <c r="J47" s="15">
        <v>1.0</v>
      </c>
      <c r="K47" s="15">
        <v>1.0</v>
      </c>
      <c r="L47" s="15">
        <v>1.0</v>
      </c>
      <c r="M47" s="15">
        <v>1.0</v>
      </c>
      <c r="N47" s="15">
        <v>11.0</v>
      </c>
    </row>
    <row r="48">
      <c r="A48" s="29" t="s">
        <v>108</v>
      </c>
      <c r="B48" s="14">
        <v>1.0</v>
      </c>
      <c r="C48" s="15">
        <v>1.0</v>
      </c>
      <c r="D48" s="15">
        <v>1.0</v>
      </c>
      <c r="E48" s="15">
        <v>1.0</v>
      </c>
      <c r="F48" s="15">
        <v>1.0</v>
      </c>
      <c r="G48" s="15">
        <v>1.0</v>
      </c>
      <c r="H48" s="15">
        <v>1.0</v>
      </c>
      <c r="I48" s="15">
        <v>1.0</v>
      </c>
      <c r="J48" s="15">
        <v>1.0</v>
      </c>
      <c r="K48" s="15">
        <v>1.0</v>
      </c>
      <c r="L48" s="15">
        <v>1.0</v>
      </c>
      <c r="M48" s="15">
        <v>1.0</v>
      </c>
      <c r="N48" s="15">
        <v>11.0</v>
      </c>
    </row>
    <row r="49">
      <c r="A49" s="29" t="s">
        <v>109</v>
      </c>
      <c r="B49" s="14">
        <v>1.0</v>
      </c>
      <c r="C49" s="15">
        <v>1.0</v>
      </c>
      <c r="D49" s="15">
        <v>1.0</v>
      </c>
      <c r="E49" s="15">
        <v>1.0</v>
      </c>
      <c r="F49" s="15">
        <v>1.0</v>
      </c>
      <c r="G49" s="15">
        <v>1.0</v>
      </c>
      <c r="H49" s="15">
        <v>1.0</v>
      </c>
      <c r="I49" s="15">
        <v>1.0</v>
      </c>
      <c r="J49" s="15">
        <v>1.0</v>
      </c>
      <c r="K49" s="15">
        <v>1.0</v>
      </c>
      <c r="L49" s="15">
        <v>1.0</v>
      </c>
      <c r="M49" s="15">
        <v>1.0</v>
      </c>
      <c r="N49" s="15">
        <v>11.0</v>
      </c>
    </row>
    <row r="50">
      <c r="A50" s="29" t="s">
        <v>110</v>
      </c>
      <c r="B50" s="14">
        <v>1.0</v>
      </c>
      <c r="C50" s="15">
        <v>1.0</v>
      </c>
      <c r="D50" s="15">
        <v>1.0</v>
      </c>
      <c r="E50" s="15">
        <v>1.0</v>
      </c>
      <c r="F50" s="15">
        <v>1.0</v>
      </c>
      <c r="G50" s="15">
        <v>1.0</v>
      </c>
      <c r="H50" s="15">
        <v>1.0</v>
      </c>
      <c r="I50" s="15">
        <v>1.0</v>
      </c>
      <c r="J50" s="15">
        <v>1.0</v>
      </c>
      <c r="K50" s="15">
        <v>1.0</v>
      </c>
      <c r="L50" s="15">
        <v>1.0</v>
      </c>
      <c r="M50" s="15">
        <v>1.0</v>
      </c>
      <c r="N50" s="15">
        <v>11.0</v>
      </c>
    </row>
    <row r="51">
      <c r="A51" s="29" t="s">
        <v>111</v>
      </c>
      <c r="B51" s="14">
        <v>1.0</v>
      </c>
      <c r="C51" s="15">
        <v>1.0</v>
      </c>
      <c r="D51" s="15">
        <v>1.0</v>
      </c>
      <c r="E51" s="15">
        <v>1.0</v>
      </c>
      <c r="F51" s="15">
        <v>1.0</v>
      </c>
      <c r="G51" s="15">
        <v>1.0</v>
      </c>
      <c r="H51" s="15">
        <v>1.0</v>
      </c>
      <c r="I51" s="15">
        <v>1.0</v>
      </c>
      <c r="J51" s="15">
        <v>1.0</v>
      </c>
      <c r="K51" s="15">
        <v>1.0</v>
      </c>
      <c r="L51" s="15">
        <v>0.0</v>
      </c>
      <c r="M51" s="15">
        <v>1.0</v>
      </c>
      <c r="N51" s="15">
        <v>10.0</v>
      </c>
    </row>
    <row r="52">
      <c r="A52" s="29" t="s">
        <v>112</v>
      </c>
      <c r="B52" s="14">
        <v>1.0</v>
      </c>
      <c r="C52" s="15">
        <v>1.0</v>
      </c>
      <c r="D52" s="15">
        <v>1.0</v>
      </c>
      <c r="E52" s="15">
        <v>1.0</v>
      </c>
      <c r="F52" s="15">
        <v>1.0</v>
      </c>
      <c r="G52" s="15">
        <v>1.0</v>
      </c>
      <c r="H52" s="15">
        <v>1.0</v>
      </c>
      <c r="I52" s="15">
        <v>1.0</v>
      </c>
      <c r="J52" s="15">
        <v>1.0</v>
      </c>
      <c r="K52" s="15">
        <v>1.0</v>
      </c>
      <c r="L52" s="15">
        <v>1.0</v>
      </c>
      <c r="M52" s="15">
        <v>1.0</v>
      </c>
      <c r="N52" s="15">
        <v>11.0</v>
      </c>
    </row>
    <row r="53">
      <c r="A53" s="29" t="s">
        <v>113</v>
      </c>
      <c r="B53" s="14">
        <v>1.0</v>
      </c>
      <c r="C53" s="15">
        <v>1.0</v>
      </c>
      <c r="D53" s="15">
        <v>1.0</v>
      </c>
      <c r="E53" s="15">
        <v>1.0</v>
      </c>
      <c r="F53" s="15">
        <v>1.0</v>
      </c>
      <c r="G53" s="15">
        <v>1.0</v>
      </c>
      <c r="H53" s="15">
        <v>1.0</v>
      </c>
      <c r="I53" s="15">
        <v>1.0</v>
      </c>
      <c r="J53" s="15">
        <v>1.0</v>
      </c>
      <c r="K53" s="15">
        <v>1.0</v>
      </c>
      <c r="L53" s="15">
        <v>1.0</v>
      </c>
      <c r="M53" s="15">
        <v>1.0</v>
      </c>
      <c r="N53" s="15">
        <v>11.0</v>
      </c>
    </row>
    <row r="54">
      <c r="A54" s="29" t="s">
        <v>114</v>
      </c>
      <c r="B54" s="14">
        <v>1.0</v>
      </c>
      <c r="C54" s="15">
        <v>1.0</v>
      </c>
      <c r="D54" s="15">
        <v>1.0</v>
      </c>
      <c r="E54" s="15">
        <v>1.0</v>
      </c>
      <c r="F54" s="15">
        <v>0.0</v>
      </c>
      <c r="G54" s="15">
        <v>1.0</v>
      </c>
      <c r="H54" s="15">
        <v>1.0</v>
      </c>
      <c r="I54" s="15">
        <v>1.0</v>
      </c>
      <c r="J54" s="15">
        <v>1.0</v>
      </c>
      <c r="K54" s="15">
        <v>1.0</v>
      </c>
      <c r="L54" s="15">
        <v>1.0</v>
      </c>
      <c r="M54" s="15">
        <v>1.0</v>
      </c>
      <c r="N54" s="15">
        <v>10.0</v>
      </c>
    </row>
    <row r="55">
      <c r="A55" s="29" t="s">
        <v>115</v>
      </c>
      <c r="B55" s="14">
        <v>1.0</v>
      </c>
      <c r="C55" s="15">
        <v>1.0</v>
      </c>
      <c r="D55" s="15">
        <v>1.0</v>
      </c>
      <c r="E55" s="15">
        <v>1.0</v>
      </c>
      <c r="F55" s="15">
        <v>1.0</v>
      </c>
      <c r="G55" s="15">
        <v>1.0</v>
      </c>
      <c r="H55" s="15">
        <v>1.0</v>
      </c>
      <c r="I55" s="15">
        <v>1.0</v>
      </c>
      <c r="J55" s="15">
        <v>1.0</v>
      </c>
      <c r="K55" s="15">
        <v>1.0</v>
      </c>
      <c r="L55" s="15">
        <v>1.0</v>
      </c>
      <c r="M55" s="15">
        <v>1.0</v>
      </c>
      <c r="N55" s="15">
        <v>11.0</v>
      </c>
    </row>
    <row r="56">
      <c r="A56" s="29" t="s">
        <v>116</v>
      </c>
      <c r="B56" s="14">
        <v>1.0</v>
      </c>
      <c r="C56" s="15">
        <v>1.0</v>
      </c>
      <c r="D56" s="15">
        <v>1.0</v>
      </c>
      <c r="E56" s="15">
        <v>1.0</v>
      </c>
      <c r="F56" s="15">
        <v>1.0</v>
      </c>
      <c r="G56" s="15">
        <v>1.0</v>
      </c>
      <c r="H56" s="15">
        <v>1.0</v>
      </c>
      <c r="I56" s="15">
        <v>1.0</v>
      </c>
      <c r="J56" s="15">
        <v>1.0</v>
      </c>
      <c r="K56" s="15">
        <v>1.0</v>
      </c>
      <c r="L56" s="15">
        <v>1.0</v>
      </c>
      <c r="M56" s="15">
        <v>1.0</v>
      </c>
      <c r="N56" s="15">
        <v>11.0</v>
      </c>
    </row>
    <row r="57">
      <c r="A57" s="29" t="s">
        <v>117</v>
      </c>
      <c r="B57" s="14">
        <v>1.0</v>
      </c>
      <c r="C57" s="15">
        <v>1.0</v>
      </c>
      <c r="D57" s="15">
        <v>1.0</v>
      </c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1.0</v>
      </c>
      <c r="N57" s="15">
        <v>11.0</v>
      </c>
    </row>
    <row r="58">
      <c r="A58" s="29" t="s">
        <v>118</v>
      </c>
      <c r="B58" s="14">
        <v>1.0</v>
      </c>
      <c r="C58" s="15">
        <v>1.0</v>
      </c>
      <c r="D58" s="15">
        <v>1.0</v>
      </c>
      <c r="E58" s="15">
        <v>1.0</v>
      </c>
      <c r="F58" s="15">
        <v>1.0</v>
      </c>
      <c r="G58" s="15">
        <v>1.0</v>
      </c>
      <c r="H58" s="15">
        <v>1.0</v>
      </c>
      <c r="I58" s="15">
        <v>1.0</v>
      </c>
      <c r="J58" s="15">
        <v>1.0</v>
      </c>
      <c r="K58" s="15">
        <v>1.0</v>
      </c>
      <c r="L58" s="15">
        <v>1.0</v>
      </c>
      <c r="M58" s="15">
        <v>1.0</v>
      </c>
      <c r="N58" s="15">
        <v>11.0</v>
      </c>
    </row>
    <row r="59">
      <c r="A59" s="29" t="s">
        <v>119</v>
      </c>
      <c r="B59" s="14">
        <v>1.0</v>
      </c>
      <c r="C59" s="15">
        <v>1.0</v>
      </c>
      <c r="D59" s="15">
        <v>1.0</v>
      </c>
      <c r="E59" s="15">
        <v>1.0</v>
      </c>
      <c r="F59" s="15">
        <v>1.0</v>
      </c>
      <c r="G59" s="15">
        <v>1.0</v>
      </c>
      <c r="H59" s="15">
        <v>1.0</v>
      </c>
      <c r="I59" s="15">
        <v>1.0</v>
      </c>
      <c r="J59" s="15">
        <v>1.0</v>
      </c>
      <c r="K59" s="15">
        <v>1.0</v>
      </c>
      <c r="L59" s="15">
        <v>1.0</v>
      </c>
      <c r="M59" s="15">
        <v>1.0</v>
      </c>
      <c r="N59" s="15">
        <v>11.0</v>
      </c>
    </row>
    <row r="60">
      <c r="A60" s="49" t="s">
        <v>120</v>
      </c>
      <c r="B60" s="14">
        <v>1.0</v>
      </c>
      <c r="C60" s="15">
        <v>1.0</v>
      </c>
      <c r="D60" s="15">
        <v>1.0</v>
      </c>
      <c r="E60" s="15">
        <v>1.0</v>
      </c>
      <c r="F60" s="15">
        <v>1.0</v>
      </c>
      <c r="G60" s="15">
        <v>1.0</v>
      </c>
      <c r="H60" s="15">
        <v>1.0</v>
      </c>
      <c r="I60" s="15">
        <v>1.0</v>
      </c>
      <c r="J60" s="15">
        <v>1.0</v>
      </c>
      <c r="K60" s="15">
        <v>1.0</v>
      </c>
      <c r="L60" s="15">
        <v>1.0</v>
      </c>
      <c r="M60" s="15">
        <v>1.0</v>
      </c>
      <c r="N60" s="15">
        <v>11.0</v>
      </c>
    </row>
    <row r="61">
      <c r="A61" s="29" t="s">
        <v>121</v>
      </c>
      <c r="B61" s="14">
        <v>1.0</v>
      </c>
      <c r="C61" s="15">
        <v>1.0</v>
      </c>
      <c r="D61" s="15">
        <v>1.0</v>
      </c>
      <c r="E61" s="15">
        <v>1.0</v>
      </c>
      <c r="F61" s="15">
        <v>1.0</v>
      </c>
      <c r="G61" s="15">
        <v>1.0</v>
      </c>
      <c r="H61" s="15">
        <v>1.0</v>
      </c>
      <c r="I61" s="15">
        <v>1.0</v>
      </c>
      <c r="J61" s="15">
        <v>1.0</v>
      </c>
      <c r="K61" s="15">
        <v>1.0</v>
      </c>
      <c r="L61" s="15">
        <v>1.0</v>
      </c>
      <c r="M61" s="15">
        <v>1.0</v>
      </c>
      <c r="N61" s="15">
        <v>11.0</v>
      </c>
    </row>
    <row r="62">
      <c r="A62" s="29" t="s">
        <v>122</v>
      </c>
      <c r="B62" s="14">
        <v>1.0</v>
      </c>
      <c r="C62" s="15">
        <v>1.0</v>
      </c>
      <c r="D62" s="15">
        <v>1.0</v>
      </c>
      <c r="E62" s="15">
        <v>1.0</v>
      </c>
      <c r="F62" s="15">
        <v>1.0</v>
      </c>
      <c r="G62" s="15">
        <v>1.0</v>
      </c>
      <c r="H62" s="15">
        <v>1.0</v>
      </c>
      <c r="I62" s="15">
        <v>1.0</v>
      </c>
      <c r="J62" s="15">
        <v>1.0</v>
      </c>
      <c r="K62" s="15">
        <v>1.0</v>
      </c>
      <c r="L62" s="15">
        <v>1.0</v>
      </c>
      <c r="M62" s="15">
        <v>1.0</v>
      </c>
      <c r="N62" s="15">
        <v>11.0</v>
      </c>
    </row>
    <row r="63">
      <c r="A63" s="29" t="s">
        <v>123</v>
      </c>
      <c r="B63" s="14">
        <v>1.0</v>
      </c>
      <c r="C63" s="15">
        <v>1.0</v>
      </c>
      <c r="D63" s="15">
        <v>1.0</v>
      </c>
      <c r="E63" s="15">
        <v>1.0</v>
      </c>
      <c r="F63" s="15">
        <v>1.0</v>
      </c>
      <c r="G63" s="15">
        <v>1.0</v>
      </c>
      <c r="H63" s="15">
        <v>1.0</v>
      </c>
      <c r="I63" s="15">
        <v>1.0</v>
      </c>
      <c r="J63" s="15">
        <v>1.0</v>
      </c>
      <c r="K63" s="15">
        <v>1.0</v>
      </c>
      <c r="L63" s="15">
        <v>1.0</v>
      </c>
      <c r="M63" s="15">
        <v>1.0</v>
      </c>
      <c r="N63" s="15">
        <v>11.0</v>
      </c>
    </row>
    <row r="64">
      <c r="A64" s="29" t="s">
        <v>124</v>
      </c>
      <c r="B64" s="14">
        <v>1.0</v>
      </c>
      <c r="C64" s="15">
        <v>1.0</v>
      </c>
      <c r="D64" s="15">
        <v>1.0</v>
      </c>
      <c r="E64" s="15">
        <v>1.0</v>
      </c>
      <c r="F64" s="15">
        <v>1.0</v>
      </c>
      <c r="G64" s="15">
        <v>1.0</v>
      </c>
      <c r="H64" s="15">
        <v>1.0</v>
      </c>
      <c r="I64" s="15">
        <v>1.0</v>
      </c>
      <c r="J64" s="15">
        <v>1.0</v>
      </c>
      <c r="K64" s="15">
        <v>1.0</v>
      </c>
      <c r="L64" s="15">
        <v>1.0</v>
      </c>
      <c r="M64" s="15">
        <v>1.0</v>
      </c>
      <c r="N64" s="15">
        <v>11.0</v>
      </c>
    </row>
    <row r="65">
      <c r="A65" s="29" t="s">
        <v>125</v>
      </c>
      <c r="B65" s="14">
        <v>1.0</v>
      </c>
      <c r="C65" s="15">
        <v>1.0</v>
      </c>
      <c r="D65" s="15">
        <v>1.0</v>
      </c>
      <c r="E65" s="15">
        <v>1.0</v>
      </c>
      <c r="F65" s="15">
        <v>1.0</v>
      </c>
      <c r="G65" s="15">
        <v>1.0</v>
      </c>
      <c r="H65" s="15">
        <v>1.0</v>
      </c>
      <c r="I65" s="15">
        <v>1.0</v>
      </c>
      <c r="J65" s="15">
        <v>1.0</v>
      </c>
      <c r="K65" s="15">
        <v>1.0</v>
      </c>
      <c r="L65" s="15">
        <v>1.0</v>
      </c>
      <c r="M65" s="15">
        <v>1.0</v>
      </c>
      <c r="N65" s="15">
        <v>11.0</v>
      </c>
    </row>
    <row r="66">
      <c r="A66" s="29" t="s">
        <v>126</v>
      </c>
      <c r="B66" s="14">
        <v>1.0</v>
      </c>
      <c r="C66" s="15">
        <v>1.0</v>
      </c>
      <c r="D66" s="15">
        <v>1.0</v>
      </c>
      <c r="E66" s="15">
        <v>1.0</v>
      </c>
      <c r="F66" s="15">
        <v>1.0</v>
      </c>
      <c r="G66" s="15">
        <v>1.0</v>
      </c>
      <c r="H66" s="15">
        <v>1.0</v>
      </c>
      <c r="I66" s="15">
        <v>1.0</v>
      </c>
      <c r="J66" s="15">
        <v>1.0</v>
      </c>
      <c r="K66" s="15">
        <v>1.0</v>
      </c>
      <c r="L66" s="15">
        <v>1.0</v>
      </c>
      <c r="M66" s="15">
        <v>1.0</v>
      </c>
      <c r="N66" s="15">
        <v>11.0</v>
      </c>
    </row>
    <row r="67">
      <c r="A67" s="29" t="s">
        <v>127</v>
      </c>
      <c r="B67" s="14">
        <v>1.0</v>
      </c>
      <c r="C67" s="15">
        <v>1.0</v>
      </c>
      <c r="D67" s="15">
        <v>1.0</v>
      </c>
      <c r="E67" s="15">
        <v>1.0</v>
      </c>
      <c r="F67" s="15">
        <v>1.0</v>
      </c>
      <c r="G67" s="15">
        <v>1.0</v>
      </c>
      <c r="H67" s="15">
        <v>1.0</v>
      </c>
      <c r="I67" s="15">
        <v>1.0</v>
      </c>
      <c r="J67" s="15">
        <v>1.0</v>
      </c>
      <c r="K67" s="15">
        <v>1.0</v>
      </c>
      <c r="L67" s="15">
        <v>1.0</v>
      </c>
      <c r="M67" s="15">
        <v>1.0</v>
      </c>
      <c r="N67" s="15">
        <v>11.0</v>
      </c>
    </row>
    <row r="68">
      <c r="A68" s="29" t="s">
        <v>128</v>
      </c>
      <c r="B68" s="14">
        <v>1.0</v>
      </c>
      <c r="C68" s="15">
        <v>1.0</v>
      </c>
      <c r="D68" s="15">
        <v>1.0</v>
      </c>
      <c r="E68" s="15">
        <v>1.0</v>
      </c>
      <c r="F68" s="15">
        <v>1.0</v>
      </c>
      <c r="G68" s="15">
        <v>1.0</v>
      </c>
      <c r="H68" s="15">
        <v>1.0</v>
      </c>
      <c r="I68" s="15">
        <v>1.0</v>
      </c>
      <c r="J68" s="15">
        <v>1.0</v>
      </c>
      <c r="K68" s="15">
        <v>1.0</v>
      </c>
      <c r="L68" s="15">
        <v>1.0</v>
      </c>
      <c r="M68" s="15">
        <v>1.0</v>
      </c>
      <c r="N68" s="15">
        <v>11.0</v>
      </c>
    </row>
    <row r="69">
      <c r="A69" s="50"/>
      <c r="B69" s="51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2">
      <c r="B72" s="52" t="s">
        <v>129</v>
      </c>
      <c r="D72" s="53"/>
      <c r="E72" s="52" t="s">
        <v>130</v>
      </c>
      <c r="G72" s="53"/>
      <c r="H72" s="52" t="s">
        <v>131</v>
      </c>
      <c r="K72" s="54" t="s">
        <v>132</v>
      </c>
      <c r="M72" s="53"/>
      <c r="N72" s="52" t="s">
        <v>133</v>
      </c>
      <c r="Q72" s="54" t="s">
        <v>134</v>
      </c>
      <c r="T72" s="54" t="s">
        <v>135</v>
      </c>
      <c r="V72" s="53"/>
      <c r="W72" s="52" t="s">
        <v>136</v>
      </c>
      <c r="Z72" s="54" t="s">
        <v>137</v>
      </c>
      <c r="AB72" s="53"/>
      <c r="AC72" s="52" t="s">
        <v>138</v>
      </c>
      <c r="AF72" s="54" t="s">
        <v>139</v>
      </c>
    </row>
    <row r="73">
      <c r="A73" s="27" t="s">
        <v>83</v>
      </c>
      <c r="B73" s="27" t="s">
        <v>84</v>
      </c>
      <c r="C73" s="27" t="s">
        <v>85</v>
      </c>
      <c r="D73" s="55" t="s">
        <v>86</v>
      </c>
      <c r="E73" s="56" t="s">
        <v>84</v>
      </c>
      <c r="F73" s="27" t="s">
        <v>85</v>
      </c>
      <c r="G73" s="55" t="s">
        <v>86</v>
      </c>
      <c r="H73" s="56" t="s">
        <v>84</v>
      </c>
      <c r="I73" s="27" t="s">
        <v>85</v>
      </c>
      <c r="J73" s="57" t="s">
        <v>86</v>
      </c>
      <c r="K73" s="58" t="s">
        <v>84</v>
      </c>
      <c r="L73" s="27" t="s">
        <v>85</v>
      </c>
      <c r="M73" s="55" t="s">
        <v>86</v>
      </c>
      <c r="N73" s="56" t="s">
        <v>84</v>
      </c>
      <c r="O73" s="27" t="s">
        <v>85</v>
      </c>
      <c r="P73" s="57" t="s">
        <v>86</v>
      </c>
      <c r="Q73" s="58" t="s">
        <v>84</v>
      </c>
      <c r="R73" s="27" t="s">
        <v>85</v>
      </c>
      <c r="S73" s="57" t="s">
        <v>86</v>
      </c>
      <c r="T73" s="58" t="s">
        <v>84</v>
      </c>
      <c r="U73" s="27" t="s">
        <v>85</v>
      </c>
      <c r="V73" s="55" t="s">
        <v>86</v>
      </c>
      <c r="W73" s="56" t="s">
        <v>84</v>
      </c>
      <c r="X73" s="27" t="s">
        <v>85</v>
      </c>
      <c r="Y73" s="57" t="s">
        <v>86</v>
      </c>
      <c r="Z73" s="58" t="s">
        <v>84</v>
      </c>
      <c r="AA73" s="27" t="s">
        <v>85</v>
      </c>
      <c r="AB73" s="55" t="s">
        <v>86</v>
      </c>
      <c r="AC73" s="56" t="s">
        <v>84</v>
      </c>
      <c r="AD73" s="27" t="s">
        <v>85</v>
      </c>
      <c r="AE73" s="57" t="s">
        <v>86</v>
      </c>
      <c r="AF73" s="58" t="s">
        <v>84</v>
      </c>
      <c r="AG73" s="27" t="s">
        <v>85</v>
      </c>
      <c r="AH73" s="57" t="s">
        <v>86</v>
      </c>
    </row>
    <row r="74">
      <c r="A74" s="31" t="s">
        <v>140</v>
      </c>
      <c r="B74" s="32">
        <v>9290.0</v>
      </c>
      <c r="C74" s="59" t="s">
        <v>141</v>
      </c>
      <c r="D74" s="60" t="s">
        <v>142</v>
      </c>
      <c r="E74" s="61">
        <v>7105993.0</v>
      </c>
      <c r="F74" s="59" t="s">
        <v>141</v>
      </c>
      <c r="G74" s="60" t="s">
        <v>142</v>
      </c>
      <c r="H74" s="61">
        <v>7101185.0</v>
      </c>
      <c r="I74" s="59" t="s">
        <v>141</v>
      </c>
      <c r="J74" s="62" t="s">
        <v>142</v>
      </c>
      <c r="K74" s="63">
        <v>787.0</v>
      </c>
      <c r="L74" s="59" t="s">
        <v>141</v>
      </c>
      <c r="M74" s="62" t="s">
        <v>142</v>
      </c>
      <c r="N74" s="61">
        <v>7104270.0</v>
      </c>
      <c r="O74" s="64" t="s">
        <v>141</v>
      </c>
      <c r="P74" s="62" t="s">
        <v>142</v>
      </c>
      <c r="Q74" s="63">
        <v>7104808.0</v>
      </c>
      <c r="R74" s="64" t="s">
        <v>141</v>
      </c>
      <c r="S74" s="62" t="s">
        <v>142</v>
      </c>
      <c r="T74" s="63">
        <v>7102934.0</v>
      </c>
      <c r="U74" s="64" t="s">
        <v>141</v>
      </c>
      <c r="V74" s="62" t="s">
        <v>142</v>
      </c>
      <c r="W74" s="61">
        <v>7105995.0</v>
      </c>
      <c r="X74" s="64" t="s">
        <v>141</v>
      </c>
      <c r="Y74" s="62" t="s">
        <v>142</v>
      </c>
      <c r="Z74" s="63">
        <v>7100481.0</v>
      </c>
      <c r="AA74" s="64" t="s">
        <v>141</v>
      </c>
      <c r="AB74" s="62" t="s">
        <v>142</v>
      </c>
      <c r="AC74" s="61">
        <v>6400030.0</v>
      </c>
      <c r="AD74" s="64" t="s">
        <v>141</v>
      </c>
      <c r="AE74" s="62" t="s">
        <v>142</v>
      </c>
      <c r="AF74" s="63">
        <v>7106783.0</v>
      </c>
      <c r="AG74" s="64" t="s">
        <v>141</v>
      </c>
      <c r="AH74" s="62" t="s">
        <v>142</v>
      </c>
    </row>
    <row r="75">
      <c r="A75" s="31" t="s">
        <v>143</v>
      </c>
      <c r="B75" s="32">
        <v>10310.0</v>
      </c>
      <c r="C75" s="59" t="s">
        <v>141</v>
      </c>
      <c r="D75" s="60" t="s">
        <v>142</v>
      </c>
      <c r="E75" s="61">
        <v>812.0</v>
      </c>
      <c r="F75" s="59" t="s">
        <v>141</v>
      </c>
      <c r="G75" s="60" t="s">
        <v>142</v>
      </c>
      <c r="H75" s="61">
        <v>7101315.0</v>
      </c>
      <c r="I75" s="59" t="s">
        <v>141</v>
      </c>
      <c r="J75" s="62" t="s">
        <v>142</v>
      </c>
      <c r="K75" s="63">
        <v>8670.0</v>
      </c>
      <c r="L75" s="59" t="s">
        <v>141</v>
      </c>
      <c r="M75" s="62" t="s">
        <v>142</v>
      </c>
      <c r="N75" s="61">
        <v>7101565.0</v>
      </c>
      <c r="O75" s="64" t="s">
        <v>141</v>
      </c>
      <c r="P75" s="62" t="s">
        <v>142</v>
      </c>
      <c r="Q75" s="63">
        <v>610.0</v>
      </c>
      <c r="R75" s="64" t="s">
        <v>141</v>
      </c>
      <c r="S75" s="62" t="s">
        <v>142</v>
      </c>
      <c r="T75" s="63">
        <v>7104284.0</v>
      </c>
      <c r="U75" s="64" t="s">
        <v>141</v>
      </c>
      <c r="V75" s="62" t="s">
        <v>142</v>
      </c>
      <c r="W75" s="61">
        <v>7105545.0</v>
      </c>
      <c r="X75" s="64" t="s">
        <v>141</v>
      </c>
      <c r="Y75" s="62" t="s">
        <v>142</v>
      </c>
      <c r="Z75" s="63">
        <v>4880.0</v>
      </c>
      <c r="AA75" s="64" t="s">
        <v>141</v>
      </c>
      <c r="AB75" s="62" t="s">
        <v>142</v>
      </c>
      <c r="AC75" s="61">
        <v>7105806.0</v>
      </c>
      <c r="AD75" s="64" t="s">
        <v>141</v>
      </c>
      <c r="AE75" s="62" t="s">
        <v>142</v>
      </c>
      <c r="AF75" s="63" t="s">
        <v>144</v>
      </c>
      <c r="AG75" s="64" t="s">
        <v>141</v>
      </c>
      <c r="AH75" s="62" t="s">
        <v>142</v>
      </c>
    </row>
    <row r="76">
      <c r="A76" s="31" t="s">
        <v>145</v>
      </c>
      <c r="B76" s="32">
        <v>1686153.0</v>
      </c>
      <c r="C76" s="59" t="s">
        <v>141</v>
      </c>
      <c r="D76" s="60" t="s">
        <v>142</v>
      </c>
      <c r="E76" s="61">
        <v>1573442.0</v>
      </c>
      <c r="F76" s="59" t="s">
        <v>141</v>
      </c>
      <c r="G76" s="60" t="s">
        <v>142</v>
      </c>
      <c r="H76" s="61" t="s">
        <v>144</v>
      </c>
      <c r="I76" s="59" t="s">
        <v>141</v>
      </c>
      <c r="J76" s="62" t="s">
        <v>142</v>
      </c>
      <c r="K76" s="63">
        <v>796621.0</v>
      </c>
      <c r="L76" s="59" t="s">
        <v>141</v>
      </c>
      <c r="M76" s="62" t="s">
        <v>142</v>
      </c>
      <c r="N76" s="61">
        <v>39527.0</v>
      </c>
      <c r="O76" s="64" t="s">
        <v>141</v>
      </c>
      <c r="P76" s="62" t="s">
        <v>142</v>
      </c>
      <c r="Q76" s="63">
        <v>1.6577737E7</v>
      </c>
      <c r="R76" s="64" t="s">
        <v>141</v>
      </c>
      <c r="S76" s="62" t="s">
        <v>142</v>
      </c>
      <c r="T76" s="63">
        <v>1427774.0</v>
      </c>
      <c r="U76" s="64" t="s">
        <v>141</v>
      </c>
      <c r="V76" s="62" t="s">
        <v>142</v>
      </c>
      <c r="W76" s="61">
        <v>825244.0</v>
      </c>
      <c r="X76" s="64" t="s">
        <v>141</v>
      </c>
      <c r="Y76" s="62" t="s">
        <v>142</v>
      </c>
      <c r="Z76" s="63">
        <v>336134.0</v>
      </c>
      <c r="AA76" s="64" t="s">
        <v>141</v>
      </c>
      <c r="AB76" s="62" t="s">
        <v>142</v>
      </c>
      <c r="AC76" s="61">
        <v>1433154.0</v>
      </c>
      <c r="AD76" s="64" t="s">
        <v>141</v>
      </c>
      <c r="AE76" s="62" t="s">
        <v>142</v>
      </c>
      <c r="AF76" s="63">
        <v>516503.0</v>
      </c>
      <c r="AG76" s="64" t="s">
        <v>141</v>
      </c>
      <c r="AH76" s="62" t="s">
        <v>142</v>
      </c>
    </row>
    <row r="77">
      <c r="A77" s="31" t="s">
        <v>146</v>
      </c>
      <c r="B77" s="32">
        <v>1.1020357E7</v>
      </c>
      <c r="C77" s="59" t="s">
        <v>141</v>
      </c>
      <c r="D77" s="60" t="s">
        <v>142</v>
      </c>
      <c r="E77" s="61">
        <v>2011358.0</v>
      </c>
      <c r="F77" s="59" t="s">
        <v>141</v>
      </c>
      <c r="G77" s="60" t="s">
        <v>142</v>
      </c>
      <c r="H77" s="61">
        <v>1.0050176E7</v>
      </c>
      <c r="I77" s="59" t="s">
        <v>141</v>
      </c>
      <c r="J77" s="62" t="s">
        <v>142</v>
      </c>
      <c r="K77" s="63">
        <v>1091028.0</v>
      </c>
      <c r="L77" s="59" t="s">
        <v>141</v>
      </c>
      <c r="M77" s="62" t="s">
        <v>142</v>
      </c>
      <c r="N77" s="61">
        <v>1.0060195E7</v>
      </c>
      <c r="O77" s="64" t="s">
        <v>141</v>
      </c>
      <c r="P77" s="62" t="s">
        <v>142</v>
      </c>
      <c r="Q77" s="63">
        <v>1.0120018E7</v>
      </c>
      <c r="R77" s="64" t="s">
        <v>141</v>
      </c>
      <c r="S77" s="62" t="s">
        <v>142</v>
      </c>
      <c r="T77" s="63">
        <v>1.0070303E7</v>
      </c>
      <c r="U77" s="64" t="s">
        <v>141</v>
      </c>
      <c r="V77" s="62" t="s">
        <v>142</v>
      </c>
      <c r="W77" s="61">
        <v>1.0408333E7</v>
      </c>
      <c r="X77" s="64" t="s">
        <v>141</v>
      </c>
      <c r="Y77" s="62" t="s">
        <v>142</v>
      </c>
      <c r="Z77" s="63">
        <v>1.0120081E7</v>
      </c>
      <c r="AA77" s="64" t="s">
        <v>141</v>
      </c>
      <c r="AB77" s="62" t="s">
        <v>142</v>
      </c>
      <c r="AC77" s="61">
        <v>5592110.0</v>
      </c>
      <c r="AD77" s="64" t="s">
        <v>141</v>
      </c>
      <c r="AE77" s="62" t="s">
        <v>142</v>
      </c>
      <c r="AF77" s="63">
        <v>25493.0</v>
      </c>
      <c r="AG77" s="64" t="s">
        <v>141</v>
      </c>
      <c r="AH77" s="62" t="s">
        <v>142</v>
      </c>
    </row>
    <row r="78">
      <c r="A78" s="31" t="s">
        <v>147</v>
      </c>
      <c r="B78" s="59" t="s">
        <v>148</v>
      </c>
      <c r="C78" s="59" t="s">
        <v>141</v>
      </c>
      <c r="D78" s="59" t="s">
        <v>142</v>
      </c>
      <c r="E78" s="59" t="s">
        <v>148</v>
      </c>
      <c r="F78" s="59" t="s">
        <v>148</v>
      </c>
      <c r="G78" s="59" t="s">
        <v>142</v>
      </c>
      <c r="H78" s="59" t="s">
        <v>148</v>
      </c>
      <c r="I78" s="59" t="s">
        <v>141</v>
      </c>
      <c r="J78" s="59" t="s">
        <v>142</v>
      </c>
      <c r="K78" s="59" t="s">
        <v>148</v>
      </c>
      <c r="L78" s="59" t="s">
        <v>141</v>
      </c>
      <c r="M78" s="59" t="s">
        <v>142</v>
      </c>
      <c r="N78" s="59" t="s">
        <v>148</v>
      </c>
      <c r="O78" s="65" t="s">
        <v>141</v>
      </c>
      <c r="P78" s="59" t="s">
        <v>142</v>
      </c>
      <c r="Q78" s="59" t="s">
        <v>148</v>
      </c>
      <c r="R78" s="65" t="s">
        <v>141</v>
      </c>
      <c r="S78" s="59" t="s">
        <v>142</v>
      </c>
      <c r="T78" s="59" t="s">
        <v>148</v>
      </c>
      <c r="U78" s="65" t="s">
        <v>141</v>
      </c>
      <c r="V78" s="59" t="s">
        <v>142</v>
      </c>
      <c r="W78" s="59" t="s">
        <v>148</v>
      </c>
      <c r="X78" s="65" t="s">
        <v>141</v>
      </c>
      <c r="Y78" s="59" t="s">
        <v>142</v>
      </c>
      <c r="Z78" s="59" t="s">
        <v>148</v>
      </c>
      <c r="AA78" s="65" t="s">
        <v>141</v>
      </c>
      <c r="AB78" s="59" t="s">
        <v>142</v>
      </c>
      <c r="AC78" s="59" t="s">
        <v>148</v>
      </c>
      <c r="AD78" s="65" t="s">
        <v>141</v>
      </c>
      <c r="AE78" s="59" t="s">
        <v>142</v>
      </c>
      <c r="AF78" s="59" t="s">
        <v>148</v>
      </c>
      <c r="AG78" s="65" t="s">
        <v>141</v>
      </c>
      <c r="AH78" s="59" t="s">
        <v>142</v>
      </c>
    </row>
    <row r="79">
      <c r="A79" s="31" t="s">
        <v>149</v>
      </c>
      <c r="B79" s="59" t="s">
        <v>148</v>
      </c>
      <c r="C79" s="59" t="s">
        <v>141</v>
      </c>
      <c r="D79" s="60" t="s">
        <v>142</v>
      </c>
      <c r="E79" s="66" t="s">
        <v>148</v>
      </c>
      <c r="F79" s="59" t="s">
        <v>148</v>
      </c>
      <c r="G79" s="60" t="s">
        <v>142</v>
      </c>
      <c r="H79" s="66" t="s">
        <v>148</v>
      </c>
      <c r="I79" s="59" t="s">
        <v>141</v>
      </c>
      <c r="J79" s="62" t="s">
        <v>142</v>
      </c>
      <c r="K79" s="67" t="s">
        <v>148</v>
      </c>
      <c r="L79" s="59" t="s">
        <v>141</v>
      </c>
      <c r="M79" s="62" t="s">
        <v>142</v>
      </c>
      <c r="N79" s="66" t="s">
        <v>148</v>
      </c>
      <c r="O79" s="65" t="s">
        <v>141</v>
      </c>
      <c r="P79" s="62" t="s">
        <v>142</v>
      </c>
      <c r="Q79" s="67" t="s">
        <v>148</v>
      </c>
      <c r="R79" s="65" t="s">
        <v>141</v>
      </c>
      <c r="S79" s="62" t="s">
        <v>142</v>
      </c>
      <c r="T79" s="67" t="s">
        <v>148</v>
      </c>
      <c r="U79" s="65" t="s">
        <v>141</v>
      </c>
      <c r="V79" s="62" t="s">
        <v>142</v>
      </c>
      <c r="W79" s="66" t="s">
        <v>148</v>
      </c>
      <c r="X79" s="65" t="s">
        <v>141</v>
      </c>
      <c r="Y79" s="62" t="s">
        <v>142</v>
      </c>
      <c r="Z79" s="67" t="s">
        <v>148</v>
      </c>
      <c r="AA79" s="65" t="s">
        <v>141</v>
      </c>
      <c r="AB79" s="62" t="s">
        <v>142</v>
      </c>
      <c r="AC79" s="66" t="s">
        <v>148</v>
      </c>
      <c r="AD79" s="65" t="s">
        <v>141</v>
      </c>
      <c r="AE79" s="62" t="s">
        <v>142</v>
      </c>
      <c r="AF79" s="67" t="s">
        <v>148</v>
      </c>
      <c r="AG79" s="65" t="s">
        <v>141</v>
      </c>
      <c r="AH79" s="62" t="s">
        <v>142</v>
      </c>
    </row>
    <row r="80">
      <c r="A80" s="31" t="s">
        <v>150</v>
      </c>
      <c r="B80" s="32">
        <v>1.02304217E8</v>
      </c>
      <c r="C80" s="59" t="s">
        <v>141</v>
      </c>
      <c r="D80" s="60" t="s">
        <v>142</v>
      </c>
      <c r="E80" s="61">
        <v>1.12103332E8</v>
      </c>
      <c r="F80" s="59" t="s">
        <v>141</v>
      </c>
      <c r="G80" s="60" t="s">
        <v>142</v>
      </c>
      <c r="H80" s="61">
        <v>1.12101777E8</v>
      </c>
      <c r="I80" s="59" t="s">
        <v>141</v>
      </c>
      <c r="J80" s="62" t="s">
        <v>142</v>
      </c>
      <c r="K80" s="63">
        <v>1.02301758E8</v>
      </c>
      <c r="L80" s="59" t="s">
        <v>141</v>
      </c>
      <c r="M80" s="62" t="s">
        <v>142</v>
      </c>
      <c r="N80" s="61">
        <v>1.12102456E8</v>
      </c>
      <c r="O80" s="64" t="s">
        <v>141</v>
      </c>
      <c r="P80" s="62" t="s">
        <v>142</v>
      </c>
      <c r="Q80" s="63">
        <v>1.12100416E8</v>
      </c>
      <c r="R80" s="64" t="s">
        <v>141</v>
      </c>
      <c r="S80" s="62" t="s">
        <v>142</v>
      </c>
      <c r="T80" s="63">
        <v>1.12102499E8</v>
      </c>
      <c r="U80" s="64" t="s">
        <v>141</v>
      </c>
      <c r="V80" s="62" t="s">
        <v>142</v>
      </c>
      <c r="W80" s="61">
        <v>1.02305989E8</v>
      </c>
      <c r="X80" s="64" t="s">
        <v>141</v>
      </c>
      <c r="Y80" s="62" t="s">
        <v>142</v>
      </c>
      <c r="Z80" s="63">
        <v>1.12100556E8</v>
      </c>
      <c r="AA80" s="64" t="s">
        <v>141</v>
      </c>
      <c r="AB80" s="62" t="s">
        <v>142</v>
      </c>
      <c r="AC80" s="61">
        <v>1.12100416E8</v>
      </c>
      <c r="AD80" s="64" t="s">
        <v>141</v>
      </c>
      <c r="AE80" s="62" t="s">
        <v>142</v>
      </c>
      <c r="AF80" s="63">
        <v>1.02311696E8</v>
      </c>
      <c r="AG80" s="64" t="s">
        <v>141</v>
      </c>
      <c r="AH80" s="62" t="s">
        <v>142</v>
      </c>
    </row>
    <row r="81">
      <c r="A81" s="31" t="s">
        <v>151</v>
      </c>
      <c r="B81" s="59" t="s">
        <v>148</v>
      </c>
      <c r="C81" s="59" t="s">
        <v>141</v>
      </c>
      <c r="D81" s="60" t="s">
        <v>142</v>
      </c>
      <c r="E81" s="66" t="s">
        <v>148</v>
      </c>
      <c r="F81" s="59" t="s">
        <v>141</v>
      </c>
      <c r="G81" s="60" t="s">
        <v>142</v>
      </c>
      <c r="H81" s="66" t="s">
        <v>148</v>
      </c>
      <c r="I81" s="59" t="s">
        <v>141</v>
      </c>
      <c r="J81" s="62" t="s">
        <v>142</v>
      </c>
      <c r="K81" s="67" t="s">
        <v>148</v>
      </c>
      <c r="L81" s="59" t="s">
        <v>141</v>
      </c>
      <c r="M81" s="62" t="s">
        <v>142</v>
      </c>
      <c r="N81" s="66" t="s">
        <v>148</v>
      </c>
      <c r="O81" s="64" t="s">
        <v>141</v>
      </c>
      <c r="P81" s="62" t="s">
        <v>142</v>
      </c>
      <c r="Q81" s="67" t="s">
        <v>148</v>
      </c>
      <c r="R81" s="64" t="s">
        <v>141</v>
      </c>
      <c r="S81" s="62" t="s">
        <v>142</v>
      </c>
      <c r="T81" s="67" t="s">
        <v>148</v>
      </c>
      <c r="U81" s="64" t="s">
        <v>141</v>
      </c>
      <c r="V81" s="62" t="s">
        <v>142</v>
      </c>
      <c r="W81" s="66" t="s">
        <v>148</v>
      </c>
      <c r="X81" s="64" t="s">
        <v>141</v>
      </c>
      <c r="Y81" s="62" t="s">
        <v>142</v>
      </c>
      <c r="Z81" s="67" t="s">
        <v>148</v>
      </c>
      <c r="AA81" s="64" t="s">
        <v>141</v>
      </c>
      <c r="AB81" s="62" t="s">
        <v>142</v>
      </c>
      <c r="AC81" s="66" t="s">
        <v>148</v>
      </c>
      <c r="AD81" s="64" t="s">
        <v>141</v>
      </c>
      <c r="AE81" s="62" t="s">
        <v>142</v>
      </c>
      <c r="AF81" s="67" t="s">
        <v>148</v>
      </c>
      <c r="AG81" s="64" t="s">
        <v>141</v>
      </c>
      <c r="AH81" s="62" t="s">
        <v>142</v>
      </c>
    </row>
    <row r="82">
      <c r="A82" s="48" t="s">
        <v>152</v>
      </c>
      <c r="B82" s="32">
        <v>882.0</v>
      </c>
      <c r="C82" s="59" t="s">
        <v>141</v>
      </c>
      <c r="D82" s="60" t="s">
        <v>142</v>
      </c>
      <c r="E82" s="61">
        <v>348.0</v>
      </c>
      <c r="F82" s="59" t="s">
        <v>141</v>
      </c>
      <c r="G82" s="60" t="s">
        <v>142</v>
      </c>
      <c r="H82" s="61">
        <v>235.0</v>
      </c>
      <c r="I82" s="59" t="s">
        <v>141</v>
      </c>
      <c r="J82" s="62" t="s">
        <v>142</v>
      </c>
      <c r="K82" s="63">
        <v>981.0</v>
      </c>
      <c r="L82" s="59" t="s">
        <v>141</v>
      </c>
      <c r="M82" s="62" t="s">
        <v>142</v>
      </c>
      <c r="N82" s="61">
        <v>886.0</v>
      </c>
      <c r="O82" s="64" t="s">
        <v>141</v>
      </c>
      <c r="P82" s="62" t="s">
        <v>142</v>
      </c>
      <c r="Q82" s="63">
        <v>756.0</v>
      </c>
      <c r="R82" s="64" t="s">
        <v>141</v>
      </c>
      <c r="S82" s="62" t="s">
        <v>142</v>
      </c>
      <c r="T82" s="63">
        <v>548.0</v>
      </c>
      <c r="U82" s="64" t="s">
        <v>141</v>
      </c>
      <c r="V82" s="62" t="s">
        <v>142</v>
      </c>
      <c r="W82" s="61">
        <v>884.0</v>
      </c>
      <c r="X82" s="64" t="s">
        <v>141</v>
      </c>
      <c r="Y82" s="62" t="s">
        <v>142</v>
      </c>
      <c r="Z82" s="63">
        <v>986.0</v>
      </c>
      <c r="AA82" s="64" t="s">
        <v>141</v>
      </c>
      <c r="AB82" s="62" t="s">
        <v>142</v>
      </c>
      <c r="AC82" s="61">
        <v>19.0</v>
      </c>
      <c r="AD82" s="64" t="s">
        <v>141</v>
      </c>
      <c r="AE82" s="62" t="s">
        <v>142</v>
      </c>
      <c r="AF82" s="63">
        <v>549.0</v>
      </c>
      <c r="AG82" s="64" t="s">
        <v>141</v>
      </c>
      <c r="AH82" s="62" t="s">
        <v>142</v>
      </c>
    </row>
    <row r="83">
      <c r="A83" s="31" t="s">
        <v>153</v>
      </c>
      <c r="B83" s="32">
        <v>1103440.0</v>
      </c>
      <c r="C83" s="59" t="s">
        <v>141</v>
      </c>
      <c r="D83" s="60" t="s">
        <v>142</v>
      </c>
      <c r="E83" s="61">
        <v>1106871.0</v>
      </c>
      <c r="F83" s="59" t="s">
        <v>141</v>
      </c>
      <c r="G83" s="60" t="s">
        <v>142</v>
      </c>
      <c r="H83" s="61">
        <v>1101197.0</v>
      </c>
      <c r="I83" s="59" t="s">
        <v>141</v>
      </c>
      <c r="J83" s="62" t="s">
        <v>142</v>
      </c>
      <c r="K83" s="63">
        <v>587843.0</v>
      </c>
      <c r="L83" s="59" t="s">
        <v>141</v>
      </c>
      <c r="M83" s="60" t="s">
        <v>142</v>
      </c>
      <c r="N83" s="61">
        <v>1115406.0</v>
      </c>
      <c r="O83" s="59" t="s">
        <v>141</v>
      </c>
      <c r="P83" s="62" t="s">
        <v>142</v>
      </c>
      <c r="Q83" s="63">
        <v>586277.0</v>
      </c>
      <c r="R83" s="59" t="s">
        <v>141</v>
      </c>
      <c r="S83" s="62" t="s">
        <v>142</v>
      </c>
      <c r="T83" s="63">
        <v>1107418.0</v>
      </c>
      <c r="U83" s="59" t="s">
        <v>141</v>
      </c>
      <c r="V83" s="60" t="s">
        <v>142</v>
      </c>
      <c r="W83" s="61">
        <v>588713.0</v>
      </c>
      <c r="X83" s="59" t="s">
        <v>141</v>
      </c>
      <c r="Y83" s="62" t="s">
        <v>142</v>
      </c>
      <c r="Z83" s="63">
        <v>114636.0</v>
      </c>
      <c r="AA83" s="59" t="s">
        <v>141</v>
      </c>
      <c r="AB83" s="60" t="s">
        <v>142</v>
      </c>
      <c r="AC83" s="61">
        <v>587264.0</v>
      </c>
      <c r="AD83" s="66" t="s">
        <v>141</v>
      </c>
      <c r="AE83" s="62" t="s">
        <v>142</v>
      </c>
      <c r="AF83" s="63">
        <v>1112106.0</v>
      </c>
      <c r="AG83" s="66" t="s">
        <v>141</v>
      </c>
      <c r="AH83" s="59" t="s">
        <v>142</v>
      </c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</sheetData>
  <mergeCells count="15">
    <mergeCell ref="K72:M72"/>
    <mergeCell ref="N72:P72"/>
    <mergeCell ref="Q72:S72"/>
    <mergeCell ref="T72:V72"/>
    <mergeCell ref="W72:Y72"/>
    <mergeCell ref="Z72:AB72"/>
    <mergeCell ref="AC72:AE72"/>
    <mergeCell ref="AF72:AH72"/>
    <mergeCell ref="P1:AC1"/>
    <mergeCell ref="P26:AB26"/>
    <mergeCell ref="P36:S36"/>
    <mergeCell ref="W36:Y36"/>
    <mergeCell ref="B72:D72"/>
    <mergeCell ref="E72:G72"/>
    <mergeCell ref="H72:J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154</v>
      </c>
      <c r="D2" s="8" t="s">
        <v>155</v>
      </c>
      <c r="E2" s="8" t="s">
        <v>156</v>
      </c>
      <c r="F2" s="8" t="s">
        <v>157</v>
      </c>
      <c r="G2" s="8" t="s">
        <v>158</v>
      </c>
      <c r="H2" s="8" t="s">
        <v>159</v>
      </c>
      <c r="I2" s="8" t="s">
        <v>160</v>
      </c>
      <c r="J2" s="8" t="s">
        <v>161</v>
      </c>
      <c r="K2" s="8" t="s">
        <v>162</v>
      </c>
      <c r="L2" s="8" t="s">
        <v>163</v>
      </c>
      <c r="M2" s="8" t="s">
        <v>164</v>
      </c>
      <c r="N2" s="68" t="s">
        <v>165</v>
      </c>
      <c r="P2" s="45"/>
      <c r="Q2" s="8" t="s">
        <v>3</v>
      </c>
      <c r="R2" s="8" t="s">
        <v>154</v>
      </c>
      <c r="S2" s="8" t="s">
        <v>155</v>
      </c>
      <c r="T2" s="8" t="s">
        <v>156</v>
      </c>
      <c r="U2" s="8" t="s">
        <v>157</v>
      </c>
      <c r="V2" s="8" t="s">
        <v>158</v>
      </c>
      <c r="W2" s="8" t="s">
        <v>159</v>
      </c>
      <c r="X2" s="8" t="s">
        <v>160</v>
      </c>
      <c r="Y2" s="8" t="s">
        <v>161</v>
      </c>
      <c r="Z2" s="8" t="s">
        <v>162</v>
      </c>
      <c r="AA2" s="8" t="s">
        <v>163</v>
      </c>
      <c r="AB2" s="8" t="s">
        <v>164</v>
      </c>
      <c r="AC2" s="8" t="s">
        <v>15</v>
      </c>
    </row>
    <row r="3">
      <c r="A3" s="13" t="s">
        <v>16</v>
      </c>
      <c r="B3" s="15">
        <v>1.0</v>
      </c>
      <c r="C3" s="69" t="s">
        <v>166</v>
      </c>
      <c r="D3" s="69" t="s">
        <v>167</v>
      </c>
      <c r="E3" s="70" t="s">
        <v>166</v>
      </c>
      <c r="F3" s="70" t="s">
        <v>166</v>
      </c>
      <c r="G3" s="70" t="s">
        <v>166</v>
      </c>
      <c r="H3" s="71" t="s">
        <v>166</v>
      </c>
      <c r="I3" s="70" t="s">
        <v>166</v>
      </c>
      <c r="J3" s="71" t="s">
        <v>166</v>
      </c>
      <c r="K3" s="71" t="s">
        <v>166</v>
      </c>
      <c r="L3" s="70" t="s">
        <v>166</v>
      </c>
      <c r="M3" s="70" t="s">
        <v>168</v>
      </c>
      <c r="N3" s="70"/>
      <c r="P3" s="31" t="s">
        <v>28</v>
      </c>
      <c r="Q3" s="32">
        <v>36.0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>
      <c r="A4" s="13" t="s">
        <v>18</v>
      </c>
      <c r="B4" s="15">
        <v>1.0</v>
      </c>
      <c r="C4" s="69" t="s">
        <v>166</v>
      </c>
      <c r="D4" s="69" t="s">
        <v>166</v>
      </c>
      <c r="E4" s="70" t="s">
        <v>166</v>
      </c>
      <c r="F4" s="70" t="s">
        <v>166</v>
      </c>
      <c r="G4" s="70" t="s">
        <v>166</v>
      </c>
      <c r="H4" s="70" t="s">
        <v>166</v>
      </c>
      <c r="I4" s="70" t="s">
        <v>166</v>
      </c>
      <c r="J4" s="71" t="s">
        <v>166</v>
      </c>
      <c r="K4" s="70" t="s">
        <v>166</v>
      </c>
      <c r="L4" s="70" t="s">
        <v>166</v>
      </c>
      <c r="M4" s="70" t="s">
        <v>168</v>
      </c>
      <c r="N4" s="70"/>
      <c r="P4" s="48">
        <v>0.5</v>
      </c>
      <c r="Q4" s="32">
        <v>2.0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>
      <c r="A5" s="13" t="s">
        <v>20</v>
      </c>
      <c r="B5" s="15">
        <v>1.0</v>
      </c>
      <c r="C5" s="69" t="s">
        <v>168</v>
      </c>
      <c r="D5" s="69" t="s">
        <v>166</v>
      </c>
      <c r="E5" s="70" t="s">
        <v>168</v>
      </c>
      <c r="F5" s="70" t="s">
        <v>166</v>
      </c>
      <c r="G5" s="70" t="s">
        <v>166</v>
      </c>
      <c r="H5" s="70" t="s">
        <v>166</v>
      </c>
      <c r="I5" s="70" t="s">
        <v>166</v>
      </c>
      <c r="J5" s="70" t="s">
        <v>166</v>
      </c>
      <c r="K5" s="70" t="s">
        <v>166</v>
      </c>
      <c r="L5" s="70" t="s">
        <v>166</v>
      </c>
      <c r="M5" s="70" t="s">
        <v>166</v>
      </c>
      <c r="N5" s="70"/>
      <c r="P5" s="31" t="s">
        <v>17</v>
      </c>
      <c r="Q5" s="32">
        <v>10.0</v>
      </c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>
      <c r="A6" s="13" t="s">
        <v>22</v>
      </c>
      <c r="B6" s="15">
        <v>1.0</v>
      </c>
      <c r="C6" s="70" t="s">
        <v>166</v>
      </c>
      <c r="D6" s="70" t="s">
        <v>166</v>
      </c>
      <c r="E6" s="70" t="s">
        <v>166</v>
      </c>
      <c r="F6" s="70" t="s">
        <v>166</v>
      </c>
      <c r="G6" s="70" t="s">
        <v>166</v>
      </c>
      <c r="H6" s="70" t="s">
        <v>166</v>
      </c>
      <c r="I6" s="70" t="s">
        <v>166</v>
      </c>
      <c r="J6" s="70" t="s">
        <v>166</v>
      </c>
      <c r="K6" s="70" t="s">
        <v>166</v>
      </c>
      <c r="L6" s="70" t="s">
        <v>166</v>
      </c>
      <c r="M6" s="70" t="s">
        <v>166</v>
      </c>
      <c r="N6" s="70"/>
      <c r="P6" s="31" t="s">
        <v>21</v>
      </c>
      <c r="Q6" s="32">
        <v>17.0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>
      <c r="A7" s="13" t="s">
        <v>24</v>
      </c>
      <c r="B7" s="15">
        <v>1.0</v>
      </c>
      <c r="C7" s="70" t="s">
        <v>166</v>
      </c>
      <c r="D7" s="70" t="s">
        <v>166</v>
      </c>
      <c r="E7" s="70" t="s">
        <v>166</v>
      </c>
      <c r="F7" s="70" t="s">
        <v>166</v>
      </c>
      <c r="G7" s="70" t="s">
        <v>166</v>
      </c>
      <c r="H7" s="70" t="s">
        <v>169</v>
      </c>
      <c r="I7" s="70" t="s">
        <v>166</v>
      </c>
      <c r="J7" s="70" t="s">
        <v>166</v>
      </c>
      <c r="K7" s="70" t="s">
        <v>169</v>
      </c>
      <c r="L7" s="70" t="s">
        <v>166</v>
      </c>
      <c r="M7" s="70" t="s">
        <v>166</v>
      </c>
      <c r="N7" s="70"/>
      <c r="P7" s="31" t="s">
        <v>170</v>
      </c>
      <c r="Q7" s="32">
        <v>4.0</v>
      </c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>
      <c r="A8" s="13" t="s">
        <v>27</v>
      </c>
      <c r="B8" s="15">
        <v>1.0</v>
      </c>
      <c r="C8" s="70" t="s">
        <v>166</v>
      </c>
      <c r="D8" s="70" t="s">
        <v>166</v>
      </c>
      <c r="E8" s="70" t="s">
        <v>166</v>
      </c>
      <c r="F8" s="70" t="s">
        <v>166</v>
      </c>
      <c r="G8" s="70" t="s">
        <v>166</v>
      </c>
      <c r="H8" s="70" t="s">
        <v>166</v>
      </c>
      <c r="I8" s="70" t="s">
        <v>166</v>
      </c>
      <c r="J8" s="70" t="s">
        <v>166</v>
      </c>
      <c r="K8" s="70" t="s">
        <v>166</v>
      </c>
      <c r="L8" s="70" t="s">
        <v>166</v>
      </c>
      <c r="M8" s="70" t="s">
        <v>166</v>
      </c>
      <c r="N8" s="70"/>
      <c r="P8" s="31" t="s">
        <v>23</v>
      </c>
      <c r="Q8" s="32">
        <v>3.0</v>
      </c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>
      <c r="A9" s="13" t="s">
        <v>29</v>
      </c>
      <c r="B9" s="15">
        <v>1.0</v>
      </c>
      <c r="C9" s="70" t="s">
        <v>166</v>
      </c>
      <c r="D9" s="70" t="s">
        <v>166</v>
      </c>
      <c r="E9" s="70" t="s">
        <v>166</v>
      </c>
      <c r="F9" s="70" t="s">
        <v>166</v>
      </c>
      <c r="G9" s="70" t="s">
        <v>166</v>
      </c>
      <c r="H9" s="70" t="s">
        <v>166</v>
      </c>
      <c r="I9" s="70" t="s">
        <v>166</v>
      </c>
      <c r="J9" s="70" t="s">
        <v>166</v>
      </c>
      <c r="K9" s="70" t="s">
        <v>166</v>
      </c>
      <c r="L9" s="70" t="s">
        <v>166</v>
      </c>
      <c r="M9" s="70" t="s">
        <v>166</v>
      </c>
      <c r="N9" s="70"/>
      <c r="P9" s="31" t="s">
        <v>38</v>
      </c>
      <c r="Q9" s="32">
        <v>4.0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>
      <c r="A10" s="13" t="s">
        <v>30</v>
      </c>
      <c r="B10" s="15">
        <v>1.0</v>
      </c>
      <c r="C10" s="70" t="s">
        <v>166</v>
      </c>
      <c r="D10" s="70" t="s">
        <v>166</v>
      </c>
      <c r="E10" s="70" t="s">
        <v>166</v>
      </c>
      <c r="F10" s="70" t="s">
        <v>166</v>
      </c>
      <c r="G10" s="70" t="s">
        <v>166</v>
      </c>
      <c r="H10" s="70" t="s">
        <v>166</v>
      </c>
      <c r="I10" s="70" t="s">
        <v>166</v>
      </c>
      <c r="J10" s="70" t="s">
        <v>166</v>
      </c>
      <c r="K10" s="70" t="s">
        <v>166</v>
      </c>
      <c r="L10" s="70" t="s">
        <v>166</v>
      </c>
      <c r="M10" s="70" t="s">
        <v>166</v>
      </c>
      <c r="N10" s="70"/>
      <c r="P10" s="31" t="s">
        <v>40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>
      <c r="A11" s="13" t="s">
        <v>31</v>
      </c>
      <c r="B11" s="15">
        <v>1.0</v>
      </c>
      <c r="C11" s="70" t="s">
        <v>166</v>
      </c>
      <c r="D11" s="70" t="s">
        <v>166</v>
      </c>
      <c r="E11" s="70" t="s">
        <v>166</v>
      </c>
      <c r="F11" s="70" t="s">
        <v>166</v>
      </c>
      <c r="G11" s="70" t="s">
        <v>166</v>
      </c>
      <c r="H11" s="70" t="s">
        <v>166</v>
      </c>
      <c r="I11" s="70" t="s">
        <v>166</v>
      </c>
      <c r="J11" s="70" t="s">
        <v>166</v>
      </c>
      <c r="K11" s="70" t="s">
        <v>166</v>
      </c>
      <c r="L11" s="70" t="s">
        <v>166</v>
      </c>
      <c r="M11" s="70" t="s">
        <v>166</v>
      </c>
      <c r="N11" s="70"/>
      <c r="P11" s="31" t="s">
        <v>171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>
      <c r="A12" s="13" t="s">
        <v>33</v>
      </c>
      <c r="B12" s="15">
        <v>1.0</v>
      </c>
      <c r="C12" s="70" t="s">
        <v>166</v>
      </c>
      <c r="D12" s="70" t="s">
        <v>166</v>
      </c>
      <c r="E12" s="70" t="s">
        <v>166</v>
      </c>
      <c r="F12" s="70" t="s">
        <v>166</v>
      </c>
      <c r="G12" s="70" t="s">
        <v>166</v>
      </c>
      <c r="H12" s="70" t="s">
        <v>166</v>
      </c>
      <c r="I12" s="70" t="s">
        <v>166</v>
      </c>
      <c r="J12" s="70" t="s">
        <v>166</v>
      </c>
      <c r="K12" s="70" t="s">
        <v>166</v>
      </c>
      <c r="L12" s="70" t="s">
        <v>166</v>
      </c>
      <c r="M12" s="70" t="s">
        <v>166</v>
      </c>
      <c r="N12" s="70"/>
      <c r="P12" s="31" t="s">
        <v>172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>
      <c r="A13" s="26" t="s">
        <v>35</v>
      </c>
      <c r="B13" s="15">
        <v>2.0</v>
      </c>
      <c r="C13" s="70" t="s">
        <v>166</v>
      </c>
      <c r="D13" s="70" t="s">
        <v>166</v>
      </c>
      <c r="E13" s="70" t="s">
        <v>166</v>
      </c>
      <c r="F13" s="70" t="s">
        <v>166</v>
      </c>
      <c r="G13" s="70" t="s">
        <v>166</v>
      </c>
      <c r="H13" s="70" t="s">
        <v>166</v>
      </c>
      <c r="I13" s="70" t="s">
        <v>166</v>
      </c>
      <c r="J13" s="70" t="s">
        <v>166</v>
      </c>
      <c r="K13" s="70" t="s">
        <v>166</v>
      </c>
      <c r="L13" s="70" t="s">
        <v>166</v>
      </c>
      <c r="M13" s="70" t="s">
        <v>166</v>
      </c>
      <c r="N13" s="70"/>
      <c r="P13" s="31" t="s">
        <v>173</v>
      </c>
      <c r="Q13" s="32">
        <v>6.0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>
      <c r="A14" s="13" t="s">
        <v>37</v>
      </c>
      <c r="B14" s="15">
        <v>1.0</v>
      </c>
      <c r="C14" s="70" t="s">
        <v>166</v>
      </c>
      <c r="D14" s="70" t="s">
        <v>166</v>
      </c>
      <c r="E14" s="70" t="s">
        <v>166</v>
      </c>
      <c r="F14" s="70" t="s">
        <v>169</v>
      </c>
      <c r="G14" s="70" t="s">
        <v>166</v>
      </c>
      <c r="H14" s="70" t="s">
        <v>166</v>
      </c>
      <c r="I14" s="70" t="s">
        <v>166</v>
      </c>
      <c r="J14" s="70" t="s">
        <v>166</v>
      </c>
      <c r="K14" s="70" t="s">
        <v>166</v>
      </c>
      <c r="L14" s="70" t="s">
        <v>166</v>
      </c>
      <c r="M14" s="70" t="s">
        <v>166</v>
      </c>
      <c r="N14" s="70"/>
      <c r="P14" s="31" t="s">
        <v>44</v>
      </c>
      <c r="Q14" s="32">
        <v>1.0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>
      <c r="A15" s="13" t="s">
        <v>39</v>
      </c>
      <c r="B15" s="15">
        <v>1.0</v>
      </c>
      <c r="C15" s="70" t="s">
        <v>166</v>
      </c>
      <c r="D15" s="70" t="s">
        <v>166</v>
      </c>
      <c r="E15" s="70" t="s">
        <v>166</v>
      </c>
      <c r="F15" s="70" t="s">
        <v>166</v>
      </c>
      <c r="G15" s="70" t="s">
        <v>166</v>
      </c>
      <c r="H15" s="70" t="s">
        <v>166</v>
      </c>
      <c r="I15" s="70" t="s">
        <v>166</v>
      </c>
      <c r="J15" s="70" t="s">
        <v>166</v>
      </c>
      <c r="K15" s="70" t="s">
        <v>166</v>
      </c>
      <c r="L15" s="70" t="s">
        <v>166</v>
      </c>
      <c r="M15" s="70" t="s">
        <v>166</v>
      </c>
      <c r="N15" s="70"/>
      <c r="P15" s="31" t="s">
        <v>49</v>
      </c>
      <c r="Q15" s="32">
        <v>1.0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>
      <c r="A16" s="13" t="s">
        <v>41</v>
      </c>
      <c r="B16" s="15">
        <v>1.0</v>
      </c>
      <c r="C16" s="70" t="s">
        <v>166</v>
      </c>
      <c r="D16" s="70" t="s">
        <v>166</v>
      </c>
      <c r="E16" s="70" t="s">
        <v>166</v>
      </c>
      <c r="F16" s="70" t="s">
        <v>166</v>
      </c>
      <c r="G16" s="70" t="s">
        <v>166</v>
      </c>
      <c r="H16" s="70" t="s">
        <v>166</v>
      </c>
      <c r="I16" s="70" t="s">
        <v>166</v>
      </c>
      <c r="J16" s="70" t="s">
        <v>166</v>
      </c>
      <c r="K16" s="70" t="s">
        <v>166</v>
      </c>
      <c r="L16" s="70" t="s">
        <v>166</v>
      </c>
      <c r="M16" s="70" t="s">
        <v>166</v>
      </c>
      <c r="N16" s="70"/>
    </row>
    <row r="17">
      <c r="A17" s="13" t="s">
        <v>43</v>
      </c>
      <c r="B17" s="15">
        <v>1.0</v>
      </c>
      <c r="C17" s="70" t="s">
        <v>166</v>
      </c>
      <c r="D17" s="70" t="s">
        <v>166</v>
      </c>
      <c r="E17" s="70" t="s">
        <v>166</v>
      </c>
      <c r="F17" s="70" t="s">
        <v>166</v>
      </c>
      <c r="G17" s="70" t="s">
        <v>166</v>
      </c>
      <c r="H17" s="70" t="s">
        <v>166</v>
      </c>
      <c r="I17" s="70" t="s">
        <v>166</v>
      </c>
      <c r="J17" s="70" t="s">
        <v>166</v>
      </c>
      <c r="K17" s="70" t="s">
        <v>166</v>
      </c>
      <c r="L17" s="70" t="s">
        <v>166</v>
      </c>
      <c r="M17" s="70" t="s">
        <v>166</v>
      </c>
      <c r="N17" s="70"/>
    </row>
    <row r="18">
      <c r="A18" s="13" t="s">
        <v>48</v>
      </c>
      <c r="B18" s="15">
        <v>1.0</v>
      </c>
      <c r="C18" s="70" t="s">
        <v>166</v>
      </c>
      <c r="D18" s="70" t="s">
        <v>166</v>
      </c>
      <c r="E18" s="70" t="s">
        <v>166</v>
      </c>
      <c r="F18" s="70" t="s">
        <v>168</v>
      </c>
      <c r="G18" s="70" t="s">
        <v>166</v>
      </c>
      <c r="H18" s="70" t="s">
        <v>166</v>
      </c>
      <c r="I18" s="70" t="s">
        <v>166</v>
      </c>
      <c r="J18" s="70" t="s">
        <v>166</v>
      </c>
      <c r="K18" s="70" t="s">
        <v>166</v>
      </c>
      <c r="L18" s="70" t="s">
        <v>166</v>
      </c>
      <c r="M18" s="70" t="s">
        <v>166</v>
      </c>
      <c r="N18" s="70"/>
      <c r="P18" s="1" t="s">
        <v>174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3" t="s">
        <v>50</v>
      </c>
      <c r="B19" s="15">
        <v>9.0</v>
      </c>
      <c r="C19" s="70" t="s">
        <v>166</v>
      </c>
      <c r="D19" s="70" t="s">
        <v>166</v>
      </c>
      <c r="E19" s="70" t="s">
        <v>166</v>
      </c>
      <c r="F19" s="70" t="s">
        <v>168</v>
      </c>
      <c r="G19" s="70" t="s">
        <v>166</v>
      </c>
      <c r="H19" s="70" t="s">
        <v>166</v>
      </c>
      <c r="I19" s="70" t="s">
        <v>166</v>
      </c>
      <c r="J19" s="70" t="s">
        <v>166</v>
      </c>
      <c r="K19" s="70" t="s">
        <v>166</v>
      </c>
      <c r="L19" s="70" t="s">
        <v>166</v>
      </c>
      <c r="M19" s="70" t="s">
        <v>166</v>
      </c>
      <c r="N19" s="70"/>
      <c r="P19" s="27"/>
      <c r="Q19" s="8" t="s">
        <v>3</v>
      </c>
      <c r="R19" s="8" t="s">
        <v>154</v>
      </c>
      <c r="S19" s="8" t="s">
        <v>155</v>
      </c>
      <c r="T19" s="8" t="s">
        <v>156</v>
      </c>
      <c r="U19" s="8" t="s">
        <v>157</v>
      </c>
      <c r="V19" s="8" t="s">
        <v>158</v>
      </c>
      <c r="W19" s="8" t="s">
        <v>159</v>
      </c>
      <c r="X19" s="8" t="s">
        <v>160</v>
      </c>
      <c r="Y19" s="8" t="s">
        <v>161</v>
      </c>
      <c r="Z19" s="8" t="s">
        <v>162</v>
      </c>
      <c r="AA19" s="8" t="s">
        <v>163</v>
      </c>
      <c r="AB19" s="8" t="s">
        <v>164</v>
      </c>
      <c r="AC19" s="8" t="s">
        <v>15</v>
      </c>
    </row>
    <row r="20">
      <c r="A20" s="29" t="s">
        <v>51</v>
      </c>
      <c r="B20" s="15">
        <v>1.0</v>
      </c>
      <c r="C20" s="70" t="s">
        <v>166</v>
      </c>
      <c r="D20" s="70" t="s">
        <v>166</v>
      </c>
      <c r="E20" s="70" t="s">
        <v>166</v>
      </c>
      <c r="F20" s="70" t="s">
        <v>166</v>
      </c>
      <c r="G20" s="70" t="s">
        <v>166</v>
      </c>
      <c r="H20" s="70" t="s">
        <v>166</v>
      </c>
      <c r="I20" s="70" t="s">
        <v>166</v>
      </c>
      <c r="J20" s="70" t="s">
        <v>166</v>
      </c>
      <c r="K20" s="70" t="s">
        <v>166</v>
      </c>
      <c r="L20" s="70" t="s">
        <v>166</v>
      </c>
      <c r="M20" s="70" t="s">
        <v>166</v>
      </c>
      <c r="N20" s="70"/>
      <c r="P20" s="31" t="s">
        <v>52</v>
      </c>
      <c r="Q20" s="15">
        <v>2.0</v>
      </c>
      <c r="R20" s="46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29" t="s">
        <v>53</v>
      </c>
      <c r="B21" s="15">
        <v>1.0</v>
      </c>
      <c r="C21" s="70" t="s">
        <v>166</v>
      </c>
      <c r="D21" s="70" t="s">
        <v>166</v>
      </c>
      <c r="E21" s="70" t="s">
        <v>166</v>
      </c>
      <c r="F21" s="70" t="s">
        <v>166</v>
      </c>
      <c r="G21" s="70" t="s">
        <v>166</v>
      </c>
      <c r="H21" s="70" t="s">
        <v>166</v>
      </c>
      <c r="I21" s="70" t="s">
        <v>166</v>
      </c>
      <c r="J21" s="70" t="s">
        <v>166</v>
      </c>
      <c r="K21" s="70" t="s">
        <v>166</v>
      </c>
      <c r="L21" s="70" t="s">
        <v>166</v>
      </c>
      <c r="M21" s="70" t="s">
        <v>166</v>
      </c>
      <c r="N21" s="70"/>
      <c r="P21" s="31" t="s">
        <v>54</v>
      </c>
      <c r="Q21" s="15">
        <v>2.0</v>
      </c>
      <c r="R21" s="46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>
      <c r="A22" s="29" t="s">
        <v>55</v>
      </c>
      <c r="B22" s="15">
        <v>1.0</v>
      </c>
      <c r="C22" s="70" t="s">
        <v>166</v>
      </c>
      <c r="D22" s="70" t="s">
        <v>166</v>
      </c>
      <c r="E22" s="70" t="s">
        <v>166</v>
      </c>
      <c r="F22" s="70" t="s">
        <v>166</v>
      </c>
      <c r="G22" s="70" t="s">
        <v>166</v>
      </c>
      <c r="H22" s="70" t="s">
        <v>166</v>
      </c>
      <c r="I22" s="70" t="s">
        <v>166</v>
      </c>
      <c r="J22" s="70" t="s">
        <v>166</v>
      </c>
      <c r="K22" s="70" t="s">
        <v>166</v>
      </c>
      <c r="L22" s="70" t="s">
        <v>166</v>
      </c>
      <c r="M22" s="70" t="s">
        <v>166</v>
      </c>
      <c r="N22" s="70"/>
      <c r="P22" s="31" t="s">
        <v>56</v>
      </c>
      <c r="Q22" s="15">
        <v>2.0</v>
      </c>
      <c r="R22" s="46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>
      <c r="A23" s="29" t="s">
        <v>57</v>
      </c>
      <c r="B23" s="15">
        <v>1.0</v>
      </c>
      <c r="C23" s="70" t="s">
        <v>166</v>
      </c>
      <c r="D23" s="70" t="s">
        <v>166</v>
      </c>
      <c r="E23" s="70" t="s">
        <v>166</v>
      </c>
      <c r="F23" s="70" t="s">
        <v>166</v>
      </c>
      <c r="G23" s="70" t="s">
        <v>169</v>
      </c>
      <c r="H23" s="70" t="s">
        <v>166</v>
      </c>
      <c r="I23" s="70" t="s">
        <v>166</v>
      </c>
      <c r="J23" s="70" t="s">
        <v>166</v>
      </c>
      <c r="K23" s="70" t="s">
        <v>166</v>
      </c>
      <c r="L23" s="70" t="s">
        <v>166</v>
      </c>
      <c r="M23" s="70" t="s">
        <v>166</v>
      </c>
      <c r="N23" s="70"/>
      <c r="P23" s="31" t="s">
        <v>58</v>
      </c>
      <c r="Q23" s="15">
        <v>2.0</v>
      </c>
      <c r="R23" s="46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>
      <c r="A24" s="29" t="s">
        <v>59</v>
      </c>
      <c r="B24" s="15">
        <v>1.0</v>
      </c>
      <c r="C24" s="70" t="s">
        <v>166</v>
      </c>
      <c r="D24" s="70" t="s">
        <v>169</v>
      </c>
      <c r="E24" s="70" t="s">
        <v>166</v>
      </c>
      <c r="F24" s="70" t="s">
        <v>166</v>
      </c>
      <c r="G24" s="70" t="s">
        <v>166</v>
      </c>
      <c r="H24" s="70" t="s">
        <v>166</v>
      </c>
      <c r="I24" s="70" t="s">
        <v>166</v>
      </c>
      <c r="J24" s="70" t="s">
        <v>166</v>
      </c>
      <c r="K24" s="70" t="s">
        <v>166</v>
      </c>
      <c r="L24" s="70" t="s">
        <v>166</v>
      </c>
      <c r="M24" s="70" t="s">
        <v>166</v>
      </c>
      <c r="N24" s="70"/>
      <c r="P24" s="31" t="s">
        <v>60</v>
      </c>
      <c r="Q24" s="15">
        <v>1.0</v>
      </c>
      <c r="R24" s="46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29" t="s">
        <v>61</v>
      </c>
      <c r="B25" s="15">
        <v>1.0</v>
      </c>
      <c r="C25" s="70" t="s">
        <v>166</v>
      </c>
      <c r="D25" s="70" t="s">
        <v>166</v>
      </c>
      <c r="E25" s="70" t="s">
        <v>166</v>
      </c>
      <c r="F25" s="70" t="s">
        <v>166</v>
      </c>
      <c r="G25" s="70" t="s">
        <v>166</v>
      </c>
      <c r="H25" s="70" t="s">
        <v>169</v>
      </c>
      <c r="I25" s="70" t="s">
        <v>166</v>
      </c>
      <c r="J25" s="70" t="s">
        <v>166</v>
      </c>
      <c r="K25" s="70" t="s">
        <v>169</v>
      </c>
      <c r="L25" s="70" t="s">
        <v>166</v>
      </c>
      <c r="M25" s="70" t="s">
        <v>166</v>
      </c>
      <c r="N25" s="70"/>
      <c r="P25" s="33"/>
      <c r="Q25" s="34"/>
      <c r="R25" s="34"/>
      <c r="S25" s="34"/>
    </row>
    <row r="26">
      <c r="A26" s="29" t="s">
        <v>62</v>
      </c>
      <c r="B26" s="15">
        <v>1.0</v>
      </c>
      <c r="C26" s="70" t="s">
        <v>166</v>
      </c>
      <c r="D26" s="70" t="s">
        <v>166</v>
      </c>
      <c r="E26" s="70" t="s">
        <v>166</v>
      </c>
      <c r="F26" s="70" t="s">
        <v>166</v>
      </c>
      <c r="G26" s="70" t="s">
        <v>166</v>
      </c>
      <c r="H26" s="70" t="s">
        <v>166</v>
      </c>
      <c r="I26" s="70" t="s">
        <v>166</v>
      </c>
      <c r="J26" s="70" t="s">
        <v>166</v>
      </c>
      <c r="K26" s="70" t="s">
        <v>166</v>
      </c>
      <c r="L26" s="70" t="s">
        <v>166</v>
      </c>
      <c r="M26" s="70" t="s">
        <v>166</v>
      </c>
      <c r="N26" s="70"/>
      <c r="P26" s="35" t="s">
        <v>63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9" t="s">
        <v>64</v>
      </c>
      <c r="B27" s="15">
        <v>1.0</v>
      </c>
      <c r="C27" s="72" t="s">
        <v>166</v>
      </c>
      <c r="D27" s="70" t="s">
        <v>166</v>
      </c>
      <c r="E27" s="70" t="s">
        <v>166</v>
      </c>
      <c r="F27" s="70" t="s">
        <v>166</v>
      </c>
      <c r="G27" s="70" t="s">
        <v>166</v>
      </c>
      <c r="H27" s="70" t="s">
        <v>166</v>
      </c>
      <c r="I27" s="70" t="s">
        <v>166</v>
      </c>
      <c r="J27" s="70" t="s">
        <v>166</v>
      </c>
      <c r="K27" s="70" t="s">
        <v>166</v>
      </c>
      <c r="L27" s="70" t="s">
        <v>166</v>
      </c>
      <c r="M27" s="70" t="s">
        <v>166</v>
      </c>
      <c r="N27" s="70"/>
      <c r="P27" s="37"/>
      <c r="Q27" s="8" t="s">
        <v>3</v>
      </c>
      <c r="R27" s="8" t="s">
        <v>154</v>
      </c>
      <c r="S27" s="8" t="s">
        <v>155</v>
      </c>
      <c r="T27" s="8" t="s">
        <v>156</v>
      </c>
      <c r="U27" s="8" t="s">
        <v>157</v>
      </c>
      <c r="V27" s="8" t="s">
        <v>158</v>
      </c>
      <c r="W27" s="8" t="s">
        <v>159</v>
      </c>
      <c r="X27" s="8" t="s">
        <v>160</v>
      </c>
      <c r="Y27" s="8" t="s">
        <v>161</v>
      </c>
      <c r="Z27" s="8" t="s">
        <v>162</v>
      </c>
      <c r="AA27" s="8" t="s">
        <v>163</v>
      </c>
      <c r="AB27" s="8" t="s">
        <v>164</v>
      </c>
    </row>
    <row r="28">
      <c r="A28" s="29" t="s">
        <v>65</v>
      </c>
      <c r="B28" s="15">
        <v>1.0</v>
      </c>
      <c r="C28" s="70" t="s">
        <v>166</v>
      </c>
      <c r="D28" s="70" t="s">
        <v>166</v>
      </c>
      <c r="E28" s="70" t="s">
        <v>166</v>
      </c>
      <c r="F28" s="70" t="s">
        <v>166</v>
      </c>
      <c r="G28" s="70" t="s">
        <v>166</v>
      </c>
      <c r="H28" s="70" t="s">
        <v>166</v>
      </c>
      <c r="I28" s="70" t="s">
        <v>166</v>
      </c>
      <c r="J28" s="70" t="s">
        <v>166</v>
      </c>
      <c r="K28" s="70" t="s">
        <v>166</v>
      </c>
      <c r="L28" s="70" t="s">
        <v>166</v>
      </c>
      <c r="M28" s="70" t="s">
        <v>166</v>
      </c>
      <c r="N28" s="70"/>
      <c r="P28" s="39" t="s">
        <v>66</v>
      </c>
      <c r="Q28" s="32">
        <v>1.0</v>
      </c>
      <c r="R28" s="37"/>
      <c r="S28" s="73"/>
      <c r="T28" s="37"/>
      <c r="U28" s="37"/>
      <c r="V28" s="37"/>
      <c r="W28" s="37"/>
      <c r="X28" s="37"/>
      <c r="Y28" s="37"/>
      <c r="Z28" s="37"/>
      <c r="AA28" s="37"/>
      <c r="AB28" s="37"/>
    </row>
    <row r="29">
      <c r="A29" s="29" t="s">
        <v>67</v>
      </c>
      <c r="B29" s="15">
        <v>1.0</v>
      </c>
      <c r="C29" s="70" t="s">
        <v>166</v>
      </c>
      <c r="D29" s="70" t="s">
        <v>166</v>
      </c>
      <c r="E29" s="70" t="s">
        <v>166</v>
      </c>
      <c r="F29" s="70" t="s">
        <v>166</v>
      </c>
      <c r="G29" s="70" t="s">
        <v>169</v>
      </c>
      <c r="H29" s="70" t="s">
        <v>166</v>
      </c>
      <c r="I29" s="70" t="s">
        <v>166</v>
      </c>
      <c r="J29" s="70" t="s">
        <v>166</v>
      </c>
      <c r="K29" s="70" t="s">
        <v>166</v>
      </c>
      <c r="L29" s="70" t="s">
        <v>166</v>
      </c>
      <c r="M29" s="70" t="s">
        <v>166</v>
      </c>
      <c r="N29" s="70"/>
      <c r="P29" s="39" t="s">
        <v>68</v>
      </c>
      <c r="Q29" s="32">
        <v>5.0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>
      <c r="A30" s="29" t="s">
        <v>69</v>
      </c>
      <c r="B30" s="15">
        <v>1.0</v>
      </c>
      <c r="C30" s="70" t="s">
        <v>166</v>
      </c>
      <c r="D30" s="70" t="s">
        <v>166</v>
      </c>
      <c r="E30" s="70" t="s">
        <v>166</v>
      </c>
      <c r="F30" s="70" t="s">
        <v>166</v>
      </c>
      <c r="G30" s="70" t="s">
        <v>166</v>
      </c>
      <c r="H30" s="70" t="s">
        <v>166</v>
      </c>
      <c r="I30" s="70" t="s">
        <v>166</v>
      </c>
      <c r="J30" s="70" t="s">
        <v>166</v>
      </c>
      <c r="K30" s="70" t="s">
        <v>166</v>
      </c>
      <c r="L30" s="70" t="s">
        <v>166</v>
      </c>
      <c r="M30" s="70" t="s">
        <v>166</v>
      </c>
      <c r="N30" s="70"/>
      <c r="P30" s="39" t="s">
        <v>70</v>
      </c>
      <c r="Q30" s="32">
        <v>5.0</v>
      </c>
      <c r="R30" s="37"/>
      <c r="S30" s="73"/>
      <c r="T30" s="37"/>
      <c r="U30" s="37"/>
      <c r="V30" s="37"/>
      <c r="W30" s="37"/>
      <c r="X30" s="37"/>
      <c r="Y30" s="37"/>
      <c r="Z30" s="37"/>
      <c r="AA30" s="37"/>
      <c r="AB30" s="37"/>
    </row>
    <row r="31">
      <c r="A31" s="29" t="s">
        <v>71</v>
      </c>
      <c r="B31" s="15">
        <v>1.0</v>
      </c>
      <c r="C31" s="70" t="s">
        <v>166</v>
      </c>
      <c r="D31" s="70" t="s">
        <v>166</v>
      </c>
      <c r="E31" s="70" t="s">
        <v>166</v>
      </c>
      <c r="F31" s="70" t="s">
        <v>166</v>
      </c>
      <c r="G31" s="70" t="s">
        <v>166</v>
      </c>
      <c r="H31" s="70" t="s">
        <v>166</v>
      </c>
      <c r="I31" s="70" t="s">
        <v>166</v>
      </c>
      <c r="J31" s="70" t="s">
        <v>166</v>
      </c>
      <c r="K31" s="70" t="s">
        <v>166</v>
      </c>
      <c r="L31" s="70" t="s">
        <v>166</v>
      </c>
      <c r="M31" s="70" t="s">
        <v>166</v>
      </c>
      <c r="N31" s="70"/>
      <c r="P31" s="39" t="s">
        <v>72</v>
      </c>
      <c r="Q31" s="32">
        <v>1.0</v>
      </c>
      <c r="R31" s="37"/>
      <c r="S31" s="73"/>
      <c r="T31" s="37"/>
      <c r="U31" s="37"/>
      <c r="V31" s="37"/>
      <c r="W31" s="37"/>
      <c r="X31" s="37"/>
      <c r="Y31" s="37"/>
      <c r="Z31" s="37"/>
      <c r="AA31" s="37"/>
      <c r="AB31" s="37"/>
    </row>
    <row r="32">
      <c r="A32" s="29" t="s">
        <v>73</v>
      </c>
      <c r="B32" s="15">
        <v>1.0</v>
      </c>
      <c r="C32" s="71" t="s">
        <v>168</v>
      </c>
      <c r="D32" s="70" t="s">
        <v>169</v>
      </c>
      <c r="E32" s="70" t="s">
        <v>166</v>
      </c>
      <c r="F32" s="70" t="s">
        <v>169</v>
      </c>
      <c r="G32" s="70" t="s">
        <v>169</v>
      </c>
      <c r="H32" s="70" t="s">
        <v>169</v>
      </c>
      <c r="I32" s="70" t="s">
        <v>166</v>
      </c>
      <c r="J32" s="70" t="s">
        <v>166</v>
      </c>
      <c r="K32" s="70" t="s">
        <v>169</v>
      </c>
      <c r="L32" s="70" t="s">
        <v>166</v>
      </c>
      <c r="M32" s="70" t="s">
        <v>166</v>
      </c>
      <c r="N32" s="70"/>
      <c r="P32" s="39" t="s">
        <v>74</v>
      </c>
      <c r="Q32" s="32">
        <v>1.0</v>
      </c>
      <c r="R32" s="37"/>
      <c r="S32" s="73"/>
      <c r="T32" s="37"/>
      <c r="U32" s="37"/>
      <c r="V32" s="37"/>
      <c r="W32" s="37"/>
      <c r="X32" s="37"/>
      <c r="Y32" s="37"/>
      <c r="Z32" s="37"/>
      <c r="AA32" s="37"/>
      <c r="AB32" s="37"/>
    </row>
    <row r="33">
      <c r="A33" s="29" t="s">
        <v>75</v>
      </c>
      <c r="B33" s="15">
        <v>1.0</v>
      </c>
      <c r="C33" s="70" t="s">
        <v>166</v>
      </c>
      <c r="D33" s="70" t="s">
        <v>166</v>
      </c>
      <c r="E33" s="70" t="s">
        <v>166</v>
      </c>
      <c r="F33" s="70" t="s">
        <v>169</v>
      </c>
      <c r="G33" s="70" t="s">
        <v>169</v>
      </c>
      <c r="H33" s="70" t="s">
        <v>166</v>
      </c>
      <c r="I33" s="70" t="s">
        <v>166</v>
      </c>
      <c r="J33" s="70" t="s">
        <v>166</v>
      </c>
      <c r="K33" s="70" t="s">
        <v>166</v>
      </c>
      <c r="L33" s="70" t="s">
        <v>166</v>
      </c>
      <c r="M33" s="70" t="s">
        <v>166</v>
      </c>
      <c r="N33" s="70"/>
      <c r="P33" s="39" t="s">
        <v>76</v>
      </c>
      <c r="Q33" s="32">
        <v>1.0</v>
      </c>
      <c r="R33" s="37"/>
      <c r="S33" s="73"/>
      <c r="T33" s="37"/>
      <c r="U33" s="37"/>
      <c r="V33" s="37"/>
      <c r="W33" s="37"/>
      <c r="X33" s="37"/>
      <c r="Y33" s="37"/>
      <c r="Z33" s="37"/>
      <c r="AA33" s="37"/>
      <c r="AB33" s="37"/>
    </row>
    <row r="34">
      <c r="A34" s="29" t="s">
        <v>77</v>
      </c>
      <c r="B34" s="15">
        <v>1.0</v>
      </c>
      <c r="C34" s="70" t="s">
        <v>166</v>
      </c>
      <c r="D34" s="70" t="s">
        <v>166</v>
      </c>
      <c r="E34" s="70" t="s">
        <v>166</v>
      </c>
      <c r="F34" s="70" t="s">
        <v>166</v>
      </c>
      <c r="G34" s="70" t="s">
        <v>166</v>
      </c>
      <c r="H34" s="70" t="s">
        <v>166</v>
      </c>
      <c r="I34" s="70" t="s">
        <v>166</v>
      </c>
      <c r="J34" s="70" t="s">
        <v>166</v>
      </c>
      <c r="K34" s="70" t="s">
        <v>166</v>
      </c>
      <c r="L34" s="70" t="s">
        <v>166</v>
      </c>
      <c r="M34" s="70" t="s">
        <v>166</v>
      </c>
      <c r="N34" s="70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29" t="s">
        <v>78</v>
      </c>
      <c r="B35" s="15">
        <v>1.0</v>
      </c>
      <c r="C35" s="70" t="s">
        <v>166</v>
      </c>
      <c r="D35" s="70" t="s">
        <v>166</v>
      </c>
      <c r="E35" s="70" t="s">
        <v>166</v>
      </c>
      <c r="F35" s="70" t="s">
        <v>166</v>
      </c>
      <c r="G35" s="70" t="s">
        <v>166</v>
      </c>
      <c r="H35" s="70" t="s">
        <v>166</v>
      </c>
      <c r="I35" s="70" t="s">
        <v>166</v>
      </c>
      <c r="J35" s="70" t="s">
        <v>166</v>
      </c>
      <c r="K35" s="70" t="s">
        <v>166</v>
      </c>
      <c r="L35" s="70" t="s">
        <v>166</v>
      </c>
      <c r="M35" s="70" t="s">
        <v>166</v>
      </c>
      <c r="N35" s="70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29" t="s">
        <v>79</v>
      </c>
      <c r="B36" s="15">
        <v>1.0</v>
      </c>
      <c r="C36" s="70" t="s">
        <v>166</v>
      </c>
      <c r="D36" s="70" t="s">
        <v>166</v>
      </c>
      <c r="E36" s="70" t="s">
        <v>166</v>
      </c>
      <c r="F36" s="70" t="s">
        <v>166</v>
      </c>
      <c r="G36" s="70" t="s">
        <v>166</v>
      </c>
      <c r="H36" s="70" t="s">
        <v>166</v>
      </c>
      <c r="I36" s="70" t="s">
        <v>166</v>
      </c>
      <c r="J36" s="70" t="s">
        <v>166</v>
      </c>
      <c r="K36" s="70" t="s">
        <v>166</v>
      </c>
      <c r="L36" s="70" t="s">
        <v>166</v>
      </c>
      <c r="M36" s="70" t="s">
        <v>166</v>
      </c>
      <c r="N36" s="70"/>
      <c r="P36" s="4" t="s">
        <v>80</v>
      </c>
      <c r="Q36" s="5"/>
      <c r="R36" s="5"/>
      <c r="S36" s="6"/>
      <c r="W36" s="4" t="s">
        <v>81</v>
      </c>
      <c r="X36" s="5"/>
      <c r="Y36" s="6"/>
      <c r="AA36" s="42"/>
    </row>
    <row r="37">
      <c r="A37" s="29" t="s">
        <v>82</v>
      </c>
      <c r="B37" s="15">
        <v>1.0</v>
      </c>
      <c r="C37" s="70" t="s">
        <v>166</v>
      </c>
      <c r="D37" s="70" t="s">
        <v>166</v>
      </c>
      <c r="E37" s="70" t="s">
        <v>166</v>
      </c>
      <c r="F37" s="70" t="s">
        <v>166</v>
      </c>
      <c r="G37" s="70" t="s">
        <v>166</v>
      </c>
      <c r="H37" s="70" t="s">
        <v>166</v>
      </c>
      <c r="I37" s="70" t="s">
        <v>166</v>
      </c>
      <c r="J37" s="70" t="s">
        <v>166</v>
      </c>
      <c r="K37" s="70" t="s">
        <v>166</v>
      </c>
      <c r="L37" s="70" t="s">
        <v>166</v>
      </c>
      <c r="M37" s="70" t="s">
        <v>166</v>
      </c>
      <c r="N37" s="70"/>
      <c r="P37" s="27" t="s">
        <v>83</v>
      </c>
      <c r="Q37" s="27" t="s">
        <v>84</v>
      </c>
      <c r="R37" s="27" t="s">
        <v>85</v>
      </c>
      <c r="S37" s="27" t="s">
        <v>86</v>
      </c>
      <c r="W37" s="27" t="s">
        <v>87</v>
      </c>
      <c r="X37" s="27" t="s">
        <v>85</v>
      </c>
      <c r="Y37" s="27" t="s">
        <v>88</v>
      </c>
      <c r="AA37" s="42"/>
    </row>
    <row r="38">
      <c r="A38" s="29" t="s">
        <v>89</v>
      </c>
      <c r="B38" s="15">
        <v>1.0</v>
      </c>
      <c r="C38" s="70" t="s">
        <v>166</v>
      </c>
      <c r="D38" s="70" t="s">
        <v>166</v>
      </c>
      <c r="E38" s="70" t="s">
        <v>166</v>
      </c>
      <c r="F38" s="70" t="s">
        <v>166</v>
      </c>
      <c r="G38" s="70" t="s">
        <v>166</v>
      </c>
      <c r="H38" s="70" t="s">
        <v>166</v>
      </c>
      <c r="I38" s="70" t="s">
        <v>166</v>
      </c>
      <c r="J38" s="70" t="s">
        <v>166</v>
      </c>
      <c r="K38" s="70" t="s">
        <v>166</v>
      </c>
      <c r="L38" s="70" t="s">
        <v>166</v>
      </c>
      <c r="M38" s="70" t="s">
        <v>166</v>
      </c>
      <c r="N38" s="70"/>
      <c r="P38" s="31" t="s">
        <v>90</v>
      </c>
      <c r="Q38" s="45"/>
      <c r="R38" s="45"/>
      <c r="S38" s="45"/>
      <c r="W38" s="31" t="s">
        <v>92</v>
      </c>
      <c r="X38" s="46"/>
      <c r="Y38" s="46"/>
      <c r="AA38" s="42"/>
    </row>
    <row r="39">
      <c r="A39" s="29" t="s">
        <v>93</v>
      </c>
      <c r="B39" s="15">
        <v>1.0</v>
      </c>
      <c r="C39" s="70" t="s">
        <v>166</v>
      </c>
      <c r="D39" s="70" t="s">
        <v>166</v>
      </c>
      <c r="E39" s="70" t="s">
        <v>166</v>
      </c>
      <c r="F39" s="70" t="s">
        <v>166</v>
      </c>
      <c r="G39" s="70" t="s">
        <v>166</v>
      </c>
      <c r="H39" s="70" t="s">
        <v>166</v>
      </c>
      <c r="I39" s="70" t="s">
        <v>166</v>
      </c>
      <c r="J39" s="70" t="s">
        <v>166</v>
      </c>
      <c r="K39" s="70" t="s">
        <v>166</v>
      </c>
      <c r="L39" s="70" t="s">
        <v>166</v>
      </c>
      <c r="M39" s="70" t="s">
        <v>166</v>
      </c>
      <c r="N39" s="70"/>
      <c r="P39" s="31" t="s">
        <v>90</v>
      </c>
      <c r="Q39" s="45"/>
      <c r="R39" s="45"/>
      <c r="S39" s="45"/>
      <c r="W39" s="31" t="s">
        <v>95</v>
      </c>
      <c r="X39" s="46"/>
      <c r="Y39" s="46"/>
      <c r="AA39" s="42"/>
    </row>
    <row r="40">
      <c r="A40" s="29" t="s">
        <v>96</v>
      </c>
      <c r="B40" s="15">
        <v>1.0</v>
      </c>
      <c r="C40" s="70" t="s">
        <v>166</v>
      </c>
      <c r="D40" s="70" t="s">
        <v>166</v>
      </c>
      <c r="E40" s="70" t="s">
        <v>166</v>
      </c>
      <c r="F40" s="70" t="s">
        <v>166</v>
      </c>
      <c r="G40" s="70" t="s">
        <v>166</v>
      </c>
      <c r="H40" s="70" t="s">
        <v>166</v>
      </c>
      <c r="I40" s="70" t="s">
        <v>166</v>
      </c>
      <c r="J40" s="70" t="s">
        <v>166</v>
      </c>
      <c r="K40" s="70" t="s">
        <v>166</v>
      </c>
      <c r="L40" s="70" t="s">
        <v>166</v>
      </c>
      <c r="M40" s="70" t="s">
        <v>166</v>
      </c>
      <c r="N40" s="70"/>
      <c r="P40" s="31" t="s">
        <v>90</v>
      </c>
      <c r="Q40" s="45"/>
      <c r="R40" s="45"/>
      <c r="S40" s="45"/>
      <c r="AA40" s="42"/>
    </row>
    <row r="41">
      <c r="A41" s="29" t="s">
        <v>98</v>
      </c>
      <c r="B41" s="15">
        <v>1.0</v>
      </c>
      <c r="C41" s="70" t="s">
        <v>166</v>
      </c>
      <c r="D41" s="70" t="s">
        <v>166</v>
      </c>
      <c r="E41" s="70" t="s">
        <v>166</v>
      </c>
      <c r="F41" s="70" t="s">
        <v>166</v>
      </c>
      <c r="G41" s="70" t="s">
        <v>166</v>
      </c>
      <c r="H41" s="70" t="s">
        <v>166</v>
      </c>
      <c r="I41" s="70" t="s">
        <v>166</v>
      </c>
      <c r="J41" s="70" t="s">
        <v>166</v>
      </c>
      <c r="K41" s="70" t="s">
        <v>166</v>
      </c>
      <c r="L41" s="70" t="s">
        <v>166</v>
      </c>
      <c r="M41" s="70" t="s">
        <v>166</v>
      </c>
      <c r="N41" s="70"/>
      <c r="P41" s="31"/>
      <c r="Q41" s="45"/>
      <c r="R41" s="45"/>
      <c r="S41" s="45"/>
      <c r="AA41" s="42"/>
    </row>
    <row r="42">
      <c r="A42" s="29" t="s">
        <v>100</v>
      </c>
      <c r="B42" s="15">
        <v>1.0</v>
      </c>
      <c r="C42" s="70" t="s">
        <v>166</v>
      </c>
      <c r="D42" s="70" t="s">
        <v>166</v>
      </c>
      <c r="E42" s="70" t="s">
        <v>166</v>
      </c>
      <c r="F42" s="70" t="s">
        <v>166</v>
      </c>
      <c r="G42" s="70" t="s">
        <v>166</v>
      </c>
      <c r="H42" s="70" t="s">
        <v>166</v>
      </c>
      <c r="I42" s="70" t="s">
        <v>166</v>
      </c>
      <c r="J42" s="70" t="s">
        <v>166</v>
      </c>
      <c r="K42" s="70" t="s">
        <v>166</v>
      </c>
      <c r="L42" s="70" t="s">
        <v>166</v>
      </c>
      <c r="M42" s="70" t="s">
        <v>166</v>
      </c>
      <c r="N42" s="70"/>
      <c r="P42" s="31"/>
      <c r="Q42" s="45"/>
      <c r="R42" s="45"/>
      <c r="S42" s="45"/>
    </row>
    <row r="43">
      <c r="A43" s="29" t="s">
        <v>102</v>
      </c>
      <c r="B43" s="15">
        <v>1.0</v>
      </c>
      <c r="C43" s="70" t="s">
        <v>168</v>
      </c>
      <c r="D43" s="70" t="s">
        <v>168</v>
      </c>
      <c r="E43" s="70" t="s">
        <v>169</v>
      </c>
      <c r="F43" s="70" t="s">
        <v>169</v>
      </c>
      <c r="G43" s="70" t="s">
        <v>166</v>
      </c>
      <c r="H43" s="70" t="s">
        <v>166</v>
      </c>
      <c r="I43" s="70" t="s">
        <v>169</v>
      </c>
      <c r="J43" s="70" t="s">
        <v>168</v>
      </c>
      <c r="K43" s="70" t="s">
        <v>166</v>
      </c>
      <c r="L43" s="70" t="s">
        <v>169</v>
      </c>
      <c r="M43" s="70" t="s">
        <v>168</v>
      </c>
      <c r="N43" s="70"/>
      <c r="P43" s="31"/>
      <c r="Q43" s="45"/>
      <c r="R43" s="45"/>
      <c r="S43" s="45"/>
    </row>
    <row r="44">
      <c r="A44" s="29" t="s">
        <v>104</v>
      </c>
      <c r="B44" s="15">
        <v>1.0</v>
      </c>
      <c r="C44" s="70" t="s">
        <v>166</v>
      </c>
      <c r="D44" s="70" t="s">
        <v>166</v>
      </c>
      <c r="E44" s="70" t="s">
        <v>166</v>
      </c>
      <c r="F44" s="70" t="s">
        <v>166</v>
      </c>
      <c r="G44" s="70" t="s">
        <v>166</v>
      </c>
      <c r="H44" s="70" t="s">
        <v>169</v>
      </c>
      <c r="I44" s="70" t="s">
        <v>166</v>
      </c>
      <c r="J44" s="70" t="s">
        <v>168</v>
      </c>
      <c r="K44" s="70" t="s">
        <v>169</v>
      </c>
      <c r="L44" s="70" t="s">
        <v>166</v>
      </c>
      <c r="M44" s="70" t="s">
        <v>168</v>
      </c>
      <c r="N44" s="70"/>
      <c r="P44" s="48"/>
      <c r="Q44" s="45"/>
      <c r="R44" s="45"/>
      <c r="S44" s="45"/>
    </row>
    <row r="45">
      <c r="A45" s="29" t="s">
        <v>105</v>
      </c>
      <c r="B45" s="15">
        <v>1.0</v>
      </c>
      <c r="C45" s="70" t="s">
        <v>166</v>
      </c>
      <c r="D45" s="70" t="s">
        <v>166</v>
      </c>
      <c r="E45" s="70" t="s">
        <v>166</v>
      </c>
      <c r="F45" s="70" t="s">
        <v>166</v>
      </c>
      <c r="G45" s="70" t="s">
        <v>169</v>
      </c>
      <c r="H45" s="70" t="s">
        <v>166</v>
      </c>
      <c r="I45" s="70" t="s">
        <v>166</v>
      </c>
      <c r="J45" s="70" t="s">
        <v>166</v>
      </c>
      <c r="K45" s="70" t="s">
        <v>166</v>
      </c>
      <c r="L45" s="70" t="s">
        <v>166</v>
      </c>
      <c r="M45" s="70" t="s">
        <v>166</v>
      </c>
      <c r="N45" s="70"/>
    </row>
    <row r="46">
      <c r="A46" s="29" t="s">
        <v>106</v>
      </c>
      <c r="B46" s="15">
        <v>1.0</v>
      </c>
      <c r="C46" s="70" t="s">
        <v>166</v>
      </c>
      <c r="D46" s="70" t="s">
        <v>166</v>
      </c>
      <c r="E46" s="70" t="s">
        <v>166</v>
      </c>
      <c r="F46" s="70" t="s">
        <v>166</v>
      </c>
      <c r="G46" s="70" t="s">
        <v>166</v>
      </c>
      <c r="H46" s="70" t="s">
        <v>166</v>
      </c>
      <c r="I46" s="70" t="s">
        <v>166</v>
      </c>
      <c r="J46" s="70" t="s">
        <v>166</v>
      </c>
      <c r="K46" s="70" t="s">
        <v>166</v>
      </c>
      <c r="L46" s="70" t="s">
        <v>166</v>
      </c>
      <c r="M46" s="70" t="s">
        <v>166</v>
      </c>
      <c r="N46" s="70"/>
    </row>
    <row r="47">
      <c r="A47" s="29" t="s">
        <v>107</v>
      </c>
      <c r="B47" s="15">
        <v>1.0</v>
      </c>
      <c r="C47" s="70" t="s">
        <v>166</v>
      </c>
      <c r="D47" s="70" t="s">
        <v>166</v>
      </c>
      <c r="E47" s="70" t="s">
        <v>166</v>
      </c>
      <c r="F47" s="70" t="s">
        <v>166</v>
      </c>
      <c r="G47" s="70" t="s">
        <v>166</v>
      </c>
      <c r="H47" s="70" t="s">
        <v>166</v>
      </c>
      <c r="I47" s="70" t="s">
        <v>166</v>
      </c>
      <c r="J47" s="70" t="s">
        <v>166</v>
      </c>
      <c r="K47" s="70" t="s">
        <v>166</v>
      </c>
      <c r="L47" s="70" t="s">
        <v>166</v>
      </c>
      <c r="M47" s="70" t="s">
        <v>166</v>
      </c>
      <c r="N47" s="70"/>
    </row>
    <row r="48">
      <c r="A48" s="29" t="s">
        <v>108</v>
      </c>
      <c r="B48" s="15">
        <v>1.0</v>
      </c>
      <c r="C48" s="70" t="s">
        <v>168</v>
      </c>
      <c r="D48" s="70" t="s">
        <v>166</v>
      </c>
      <c r="E48" s="70" t="s">
        <v>166</v>
      </c>
      <c r="F48" s="70" t="s">
        <v>166</v>
      </c>
      <c r="G48" s="70" t="s">
        <v>166</v>
      </c>
      <c r="H48" s="70" t="s">
        <v>166</v>
      </c>
      <c r="I48" s="70" t="s">
        <v>166</v>
      </c>
      <c r="J48" s="70" t="s">
        <v>166</v>
      </c>
      <c r="K48" s="70" t="s">
        <v>166</v>
      </c>
      <c r="L48" s="70" t="s">
        <v>166</v>
      </c>
      <c r="M48" s="70" t="s">
        <v>166</v>
      </c>
      <c r="N48" s="70"/>
    </row>
    <row r="49">
      <c r="A49" s="29" t="s">
        <v>109</v>
      </c>
      <c r="B49" s="15">
        <v>1.0</v>
      </c>
      <c r="C49" s="70" t="s">
        <v>166</v>
      </c>
      <c r="D49" s="70" t="s">
        <v>166</v>
      </c>
      <c r="E49" s="70" t="s">
        <v>166</v>
      </c>
      <c r="F49" s="70" t="s">
        <v>166</v>
      </c>
      <c r="G49" s="70" t="s">
        <v>166</v>
      </c>
      <c r="H49" s="70" t="s">
        <v>166</v>
      </c>
      <c r="I49" s="70" t="s">
        <v>168</v>
      </c>
      <c r="J49" s="70" t="s">
        <v>166</v>
      </c>
      <c r="K49" s="70" t="s">
        <v>166</v>
      </c>
      <c r="L49" s="70" t="s">
        <v>168</v>
      </c>
      <c r="M49" s="70" t="s">
        <v>166</v>
      </c>
      <c r="N49" s="70"/>
    </row>
    <row r="50">
      <c r="A50" s="29" t="s">
        <v>110</v>
      </c>
      <c r="B50" s="15">
        <v>1.0</v>
      </c>
      <c r="C50" s="70" t="s">
        <v>166</v>
      </c>
      <c r="D50" s="70" t="s">
        <v>166</v>
      </c>
      <c r="E50" s="70" t="s">
        <v>166</v>
      </c>
      <c r="F50" s="70" t="s">
        <v>166</v>
      </c>
      <c r="G50" s="70" t="s">
        <v>166</v>
      </c>
      <c r="H50" s="70" t="s">
        <v>166</v>
      </c>
      <c r="I50" s="70" t="s">
        <v>166</v>
      </c>
      <c r="J50" s="70" t="s">
        <v>166</v>
      </c>
      <c r="K50" s="70" t="s">
        <v>166</v>
      </c>
      <c r="L50" s="70" t="s">
        <v>166</v>
      </c>
      <c r="M50" s="70" t="s">
        <v>166</v>
      </c>
      <c r="N50" s="70"/>
    </row>
    <row r="51">
      <c r="A51" s="29" t="s">
        <v>111</v>
      </c>
      <c r="B51" s="15">
        <v>1.0</v>
      </c>
      <c r="C51" s="70" t="s">
        <v>166</v>
      </c>
      <c r="D51" s="70" t="s">
        <v>166</v>
      </c>
      <c r="E51" s="70" t="s">
        <v>166</v>
      </c>
      <c r="F51" s="70" t="s">
        <v>169</v>
      </c>
      <c r="G51" s="70" t="s">
        <v>169</v>
      </c>
      <c r="H51" s="70" t="s">
        <v>166</v>
      </c>
      <c r="I51" s="70" t="s">
        <v>166</v>
      </c>
      <c r="J51" s="70" t="s">
        <v>166</v>
      </c>
      <c r="K51" s="70" t="s">
        <v>166</v>
      </c>
      <c r="L51" s="70" t="s">
        <v>166</v>
      </c>
      <c r="M51" s="70" t="s">
        <v>166</v>
      </c>
      <c r="N51" s="70"/>
    </row>
    <row r="52">
      <c r="A52" s="29" t="s">
        <v>112</v>
      </c>
      <c r="B52" s="15">
        <v>1.0</v>
      </c>
      <c r="C52" s="70" t="s">
        <v>166</v>
      </c>
      <c r="D52" s="70" t="s">
        <v>166</v>
      </c>
      <c r="E52" s="70" t="s">
        <v>166</v>
      </c>
      <c r="F52" s="70" t="s">
        <v>166</v>
      </c>
      <c r="G52" s="70" t="s">
        <v>166</v>
      </c>
      <c r="H52" s="70" t="s">
        <v>166</v>
      </c>
      <c r="I52" s="70" t="s">
        <v>166</v>
      </c>
      <c r="J52" s="70" t="s">
        <v>166</v>
      </c>
      <c r="K52" s="70" t="s">
        <v>166</v>
      </c>
      <c r="L52" s="70" t="s">
        <v>166</v>
      </c>
      <c r="M52" s="70" t="s">
        <v>166</v>
      </c>
      <c r="N52" s="70"/>
    </row>
    <row r="53">
      <c r="A53" s="29" t="s">
        <v>113</v>
      </c>
      <c r="B53" s="15">
        <v>1.0</v>
      </c>
      <c r="C53" s="70" t="s">
        <v>166</v>
      </c>
      <c r="D53" s="70" t="s">
        <v>166</v>
      </c>
      <c r="E53" s="70" t="s">
        <v>166</v>
      </c>
      <c r="F53" s="70" t="s">
        <v>166</v>
      </c>
      <c r="G53" s="70" t="s">
        <v>166</v>
      </c>
      <c r="H53" s="70" t="s">
        <v>166</v>
      </c>
      <c r="I53" s="70" t="s">
        <v>166</v>
      </c>
      <c r="J53" s="70" t="s">
        <v>166</v>
      </c>
      <c r="K53" s="70" t="s">
        <v>166</v>
      </c>
      <c r="L53" s="70" t="s">
        <v>166</v>
      </c>
      <c r="M53" s="70" t="s">
        <v>166</v>
      </c>
      <c r="N53" s="70"/>
    </row>
    <row r="54">
      <c r="A54" s="29" t="s">
        <v>114</v>
      </c>
      <c r="B54" s="15">
        <v>1.0</v>
      </c>
      <c r="C54" s="70" t="s">
        <v>166</v>
      </c>
      <c r="D54" s="70" t="s">
        <v>166</v>
      </c>
      <c r="E54" s="70" t="s">
        <v>166</v>
      </c>
      <c r="F54" s="70" t="s">
        <v>169</v>
      </c>
      <c r="G54" s="70" t="s">
        <v>166</v>
      </c>
      <c r="H54" s="70" t="s">
        <v>166</v>
      </c>
      <c r="I54" s="70" t="s">
        <v>166</v>
      </c>
      <c r="J54" s="70" t="s">
        <v>169</v>
      </c>
      <c r="K54" s="70" t="s">
        <v>166</v>
      </c>
      <c r="L54" s="70" t="s">
        <v>166</v>
      </c>
      <c r="M54" s="70" t="s">
        <v>169</v>
      </c>
      <c r="N54" s="70"/>
    </row>
    <row r="55">
      <c r="A55" s="29" t="s">
        <v>115</v>
      </c>
      <c r="B55" s="15">
        <v>1.0</v>
      </c>
      <c r="C55" s="70" t="s">
        <v>166</v>
      </c>
      <c r="D55" s="70" t="s">
        <v>166</v>
      </c>
      <c r="E55" s="70" t="s">
        <v>166</v>
      </c>
      <c r="F55" s="70" t="s">
        <v>166</v>
      </c>
      <c r="G55" s="70" t="s">
        <v>166</v>
      </c>
      <c r="H55" s="70" t="s">
        <v>166</v>
      </c>
      <c r="I55" s="70" t="s">
        <v>169</v>
      </c>
      <c r="J55" s="70" t="s">
        <v>166</v>
      </c>
      <c r="K55" s="70" t="s">
        <v>166</v>
      </c>
      <c r="L55" s="70" t="s">
        <v>169</v>
      </c>
      <c r="M55" s="70" t="s">
        <v>166</v>
      </c>
      <c r="N55" s="70"/>
    </row>
    <row r="56">
      <c r="A56" s="29" t="s">
        <v>116</v>
      </c>
      <c r="B56" s="15">
        <v>1.0</v>
      </c>
      <c r="C56" s="70" t="s">
        <v>166</v>
      </c>
      <c r="D56" s="70" t="s">
        <v>166</v>
      </c>
      <c r="E56" s="70" t="s">
        <v>166</v>
      </c>
      <c r="F56" s="70" t="s">
        <v>166</v>
      </c>
      <c r="G56" s="70" t="s">
        <v>166</v>
      </c>
      <c r="H56" s="70" t="s">
        <v>166</v>
      </c>
      <c r="I56" s="70" t="s">
        <v>166</v>
      </c>
      <c r="J56" s="70" t="s">
        <v>166</v>
      </c>
      <c r="K56" s="70" t="s">
        <v>166</v>
      </c>
      <c r="L56" s="70" t="s">
        <v>166</v>
      </c>
      <c r="M56" s="70" t="s">
        <v>166</v>
      </c>
      <c r="N56" s="70"/>
    </row>
    <row r="57">
      <c r="A57" s="29" t="s">
        <v>117</v>
      </c>
      <c r="B57" s="15">
        <v>1.0</v>
      </c>
      <c r="C57" s="70" t="s">
        <v>166</v>
      </c>
      <c r="D57" s="70" t="s">
        <v>166</v>
      </c>
      <c r="E57" s="70" t="s">
        <v>166</v>
      </c>
      <c r="F57" s="70" t="s">
        <v>166</v>
      </c>
      <c r="G57" s="70" t="s">
        <v>166</v>
      </c>
      <c r="H57" s="70" t="s">
        <v>166</v>
      </c>
      <c r="I57" s="70" t="s">
        <v>166</v>
      </c>
      <c r="J57" s="70" t="s">
        <v>166</v>
      </c>
      <c r="K57" s="70" t="s">
        <v>166</v>
      </c>
      <c r="L57" s="70" t="s">
        <v>166</v>
      </c>
      <c r="M57" s="70" t="s">
        <v>166</v>
      </c>
      <c r="N57" s="70"/>
    </row>
    <row r="58">
      <c r="A58" s="29" t="s">
        <v>118</v>
      </c>
      <c r="B58" s="15">
        <v>1.0</v>
      </c>
      <c r="C58" s="70" t="s">
        <v>166</v>
      </c>
      <c r="D58" s="70" t="s">
        <v>166</v>
      </c>
      <c r="E58" s="70" t="s">
        <v>169</v>
      </c>
      <c r="F58" s="70" t="s">
        <v>166</v>
      </c>
      <c r="G58" s="70" t="s">
        <v>169</v>
      </c>
      <c r="H58" s="70" t="s">
        <v>169</v>
      </c>
      <c r="I58" s="70" t="s">
        <v>169</v>
      </c>
      <c r="J58" s="70" t="s">
        <v>169</v>
      </c>
      <c r="K58" s="70" t="s">
        <v>169</v>
      </c>
      <c r="L58" s="70" t="s">
        <v>169</v>
      </c>
      <c r="M58" s="70" t="s">
        <v>169</v>
      </c>
      <c r="N58" s="70"/>
    </row>
    <row r="59">
      <c r="A59" s="29" t="s">
        <v>119</v>
      </c>
      <c r="B59" s="15">
        <v>1.0</v>
      </c>
      <c r="C59" s="70" t="s">
        <v>169</v>
      </c>
      <c r="D59" s="70" t="s">
        <v>169</v>
      </c>
      <c r="E59" s="70" t="s">
        <v>169</v>
      </c>
      <c r="F59" s="70" t="s">
        <v>166</v>
      </c>
      <c r="G59" s="70" t="s">
        <v>169</v>
      </c>
      <c r="H59" s="70" t="s">
        <v>166</v>
      </c>
      <c r="I59" s="70" t="s">
        <v>169</v>
      </c>
      <c r="J59" s="70" t="s">
        <v>169</v>
      </c>
      <c r="K59" s="70" t="s">
        <v>166</v>
      </c>
      <c r="L59" s="70" t="s">
        <v>169</v>
      </c>
      <c r="M59" s="70" t="s">
        <v>169</v>
      </c>
      <c r="N59" s="70"/>
    </row>
    <row r="60">
      <c r="A60" s="49" t="s">
        <v>120</v>
      </c>
      <c r="B60" s="15">
        <v>1.0</v>
      </c>
      <c r="C60" s="70" t="s">
        <v>166</v>
      </c>
      <c r="D60" s="70" t="s">
        <v>166</v>
      </c>
      <c r="E60" s="70" t="s">
        <v>166</v>
      </c>
      <c r="F60" s="70" t="s">
        <v>166</v>
      </c>
      <c r="G60" s="70" t="s">
        <v>166</v>
      </c>
      <c r="H60" s="70" t="s">
        <v>166</v>
      </c>
      <c r="I60" s="70" t="s">
        <v>166</v>
      </c>
      <c r="J60" s="70" t="s">
        <v>166</v>
      </c>
      <c r="K60" s="70" t="s">
        <v>166</v>
      </c>
      <c r="L60" s="70" t="s">
        <v>166</v>
      </c>
      <c r="M60" s="70" t="s">
        <v>166</v>
      </c>
      <c r="N60" s="70"/>
    </row>
    <row r="61">
      <c r="A61" s="29" t="s">
        <v>121</v>
      </c>
      <c r="B61" s="15">
        <v>1.0</v>
      </c>
      <c r="C61" s="70" t="s">
        <v>166</v>
      </c>
      <c r="D61" s="70" t="s">
        <v>166</v>
      </c>
      <c r="E61" s="70" t="s">
        <v>166</v>
      </c>
      <c r="F61" s="70" t="s">
        <v>166</v>
      </c>
      <c r="G61" s="70" t="s">
        <v>166</v>
      </c>
      <c r="H61" s="70" t="s">
        <v>166</v>
      </c>
      <c r="I61" s="70" t="s">
        <v>166</v>
      </c>
      <c r="J61" s="70" t="s">
        <v>166</v>
      </c>
      <c r="K61" s="70" t="s">
        <v>166</v>
      </c>
      <c r="L61" s="70" t="s">
        <v>166</v>
      </c>
      <c r="M61" s="70" t="s">
        <v>166</v>
      </c>
      <c r="N61" s="70"/>
    </row>
    <row r="62">
      <c r="A62" s="29" t="s">
        <v>122</v>
      </c>
      <c r="B62" s="15">
        <v>1.0</v>
      </c>
      <c r="C62" s="70" t="s">
        <v>166</v>
      </c>
      <c r="D62" s="70" t="s">
        <v>166</v>
      </c>
      <c r="E62" s="70" t="s">
        <v>166</v>
      </c>
      <c r="F62" s="70" t="s">
        <v>169</v>
      </c>
      <c r="G62" s="70" t="s">
        <v>166</v>
      </c>
      <c r="H62" s="70" t="s">
        <v>166</v>
      </c>
      <c r="I62" s="70" t="s">
        <v>166</v>
      </c>
      <c r="J62" s="70" t="s">
        <v>166</v>
      </c>
      <c r="K62" s="70" t="s">
        <v>166</v>
      </c>
      <c r="L62" s="70" t="s">
        <v>166</v>
      </c>
      <c r="M62" s="70" t="s">
        <v>166</v>
      </c>
      <c r="N62" s="70"/>
    </row>
    <row r="63">
      <c r="A63" s="29" t="s">
        <v>123</v>
      </c>
      <c r="B63" s="15">
        <v>1.0</v>
      </c>
      <c r="C63" s="70" t="s">
        <v>166</v>
      </c>
      <c r="D63" s="70" t="s">
        <v>166</v>
      </c>
      <c r="E63" s="70" t="s">
        <v>166</v>
      </c>
      <c r="F63" s="70" t="s">
        <v>166</v>
      </c>
      <c r="G63" s="70" t="s">
        <v>166</v>
      </c>
      <c r="H63" s="70" t="s">
        <v>166</v>
      </c>
      <c r="I63" s="70" t="s">
        <v>166</v>
      </c>
      <c r="J63" s="70" t="s">
        <v>166</v>
      </c>
      <c r="K63" s="70" t="s">
        <v>166</v>
      </c>
      <c r="L63" s="70" t="s">
        <v>166</v>
      </c>
      <c r="M63" s="70" t="s">
        <v>166</v>
      </c>
      <c r="N63" s="70"/>
    </row>
    <row r="64">
      <c r="A64" s="29" t="s">
        <v>124</v>
      </c>
      <c r="B64" s="15">
        <v>1.0</v>
      </c>
      <c r="C64" s="70" t="s">
        <v>166</v>
      </c>
      <c r="D64" s="70" t="s">
        <v>166</v>
      </c>
      <c r="E64" s="70" t="s">
        <v>166</v>
      </c>
      <c r="F64" s="70" t="s">
        <v>169</v>
      </c>
      <c r="G64" s="70" t="s">
        <v>169</v>
      </c>
      <c r="H64" s="70" t="s">
        <v>166</v>
      </c>
      <c r="I64" s="70" t="s">
        <v>169</v>
      </c>
      <c r="J64" s="70" t="s">
        <v>166</v>
      </c>
      <c r="K64" s="70" t="s">
        <v>166</v>
      </c>
      <c r="L64" s="70" t="s">
        <v>169</v>
      </c>
      <c r="M64" s="70" t="s">
        <v>166</v>
      </c>
      <c r="N64" s="70"/>
    </row>
    <row r="65">
      <c r="A65" s="29" t="s">
        <v>125</v>
      </c>
      <c r="B65" s="15">
        <v>1.0</v>
      </c>
      <c r="C65" s="70" t="s">
        <v>166</v>
      </c>
      <c r="D65" s="70" t="s">
        <v>166</v>
      </c>
      <c r="E65" s="70" t="s">
        <v>166</v>
      </c>
      <c r="F65" s="70" t="s">
        <v>166</v>
      </c>
      <c r="G65" s="70" t="s">
        <v>166</v>
      </c>
      <c r="H65" s="70" t="s">
        <v>166</v>
      </c>
      <c r="I65" s="70" t="s">
        <v>166</v>
      </c>
      <c r="J65" s="70" t="s">
        <v>166</v>
      </c>
      <c r="K65" s="70" t="s">
        <v>166</v>
      </c>
      <c r="L65" s="70" t="s">
        <v>166</v>
      </c>
      <c r="M65" s="70" t="s">
        <v>166</v>
      </c>
      <c r="N65" s="70"/>
    </row>
    <row r="66">
      <c r="A66" s="29" t="s">
        <v>126</v>
      </c>
      <c r="B66" s="15">
        <v>1.0</v>
      </c>
      <c r="C66" s="70" t="s">
        <v>166</v>
      </c>
      <c r="D66" s="70" t="s">
        <v>166</v>
      </c>
      <c r="E66" s="70" t="s">
        <v>166</v>
      </c>
      <c r="F66" s="70" t="s">
        <v>166</v>
      </c>
      <c r="G66" s="70" t="s">
        <v>166</v>
      </c>
      <c r="H66" s="70" t="s">
        <v>169</v>
      </c>
      <c r="I66" s="70" t="s">
        <v>166</v>
      </c>
      <c r="J66" s="70" t="s">
        <v>166</v>
      </c>
      <c r="K66" s="70" t="s">
        <v>169</v>
      </c>
      <c r="L66" s="70" t="s">
        <v>166</v>
      </c>
      <c r="M66" s="70" t="s">
        <v>166</v>
      </c>
      <c r="N66" s="70"/>
    </row>
    <row r="67">
      <c r="A67" s="29" t="s">
        <v>127</v>
      </c>
      <c r="B67" s="15">
        <v>1.0</v>
      </c>
      <c r="C67" s="70" t="s">
        <v>166</v>
      </c>
      <c r="D67" s="70" t="s">
        <v>166</v>
      </c>
      <c r="E67" s="70" t="s">
        <v>166</v>
      </c>
      <c r="F67" s="70" t="s">
        <v>166</v>
      </c>
      <c r="G67" s="70" t="s">
        <v>166</v>
      </c>
      <c r="H67" s="70" t="s">
        <v>166</v>
      </c>
      <c r="I67" s="70" t="s">
        <v>166</v>
      </c>
      <c r="J67" s="70" t="s">
        <v>168</v>
      </c>
      <c r="K67" s="70" t="s">
        <v>166</v>
      </c>
      <c r="L67" s="70" t="s">
        <v>166</v>
      </c>
      <c r="M67" s="70" t="s">
        <v>168</v>
      </c>
      <c r="N67" s="70"/>
    </row>
    <row r="68">
      <c r="A68" s="29" t="s">
        <v>128</v>
      </c>
      <c r="B68" s="15">
        <v>1.0</v>
      </c>
      <c r="C68" s="70" t="s">
        <v>166</v>
      </c>
      <c r="D68" s="70" t="s">
        <v>166</v>
      </c>
      <c r="E68" s="70" t="s">
        <v>169</v>
      </c>
      <c r="F68" s="70" t="s">
        <v>166</v>
      </c>
      <c r="G68" s="70" t="s">
        <v>166</v>
      </c>
      <c r="H68" s="70" t="s">
        <v>166</v>
      </c>
      <c r="I68" s="70" t="s">
        <v>166</v>
      </c>
      <c r="J68" s="70" t="s">
        <v>166</v>
      </c>
      <c r="K68" s="70" t="s">
        <v>166</v>
      </c>
      <c r="L68" s="70" t="s">
        <v>166</v>
      </c>
      <c r="M68" s="70" t="s">
        <v>166</v>
      </c>
      <c r="N68" s="70"/>
    </row>
    <row r="70"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2">
      <c r="B72" s="4" t="s">
        <v>154</v>
      </c>
      <c r="C72" s="5"/>
      <c r="D72" s="6"/>
      <c r="E72" s="4" t="s">
        <v>155</v>
      </c>
      <c r="F72" s="5"/>
      <c r="G72" s="6"/>
      <c r="H72" s="4" t="s">
        <v>156</v>
      </c>
      <c r="I72" s="5"/>
      <c r="J72" s="6"/>
      <c r="K72" s="4" t="s">
        <v>157</v>
      </c>
      <c r="L72" s="5"/>
      <c r="M72" s="6"/>
      <c r="N72" s="4" t="s">
        <v>158</v>
      </c>
      <c r="O72" s="5"/>
      <c r="P72" s="6"/>
      <c r="Q72" s="4" t="s">
        <v>159</v>
      </c>
      <c r="R72" s="5"/>
      <c r="S72" s="6"/>
      <c r="T72" s="4" t="s">
        <v>160</v>
      </c>
      <c r="U72" s="5"/>
      <c r="V72" s="6"/>
      <c r="W72" s="4" t="s">
        <v>161</v>
      </c>
      <c r="X72" s="5"/>
      <c r="Y72" s="6"/>
      <c r="Z72" s="4" t="s">
        <v>162</v>
      </c>
      <c r="AA72" s="5"/>
      <c r="AB72" s="6"/>
      <c r="AC72" s="4" t="s">
        <v>163</v>
      </c>
      <c r="AD72" s="5"/>
      <c r="AE72" s="6"/>
      <c r="AF72" s="4" t="s">
        <v>164</v>
      </c>
      <c r="AG72" s="5"/>
      <c r="AH72" s="6"/>
    </row>
    <row r="73">
      <c r="A73" s="27" t="s">
        <v>83</v>
      </c>
      <c r="B73" s="27" t="s">
        <v>84</v>
      </c>
      <c r="C73" s="27" t="s">
        <v>85</v>
      </c>
      <c r="D73" s="55" t="s">
        <v>86</v>
      </c>
      <c r="E73" s="56" t="s">
        <v>84</v>
      </c>
      <c r="F73" s="27" t="s">
        <v>85</v>
      </c>
      <c r="G73" s="55" t="s">
        <v>86</v>
      </c>
      <c r="H73" s="56" t="s">
        <v>84</v>
      </c>
      <c r="I73" s="27" t="s">
        <v>85</v>
      </c>
      <c r="J73" s="57" t="s">
        <v>86</v>
      </c>
      <c r="K73" s="58" t="s">
        <v>84</v>
      </c>
      <c r="L73" s="27" t="s">
        <v>85</v>
      </c>
      <c r="M73" s="55" t="s">
        <v>86</v>
      </c>
      <c r="N73" s="56" t="s">
        <v>84</v>
      </c>
      <c r="O73" s="27" t="s">
        <v>85</v>
      </c>
      <c r="P73" s="57" t="s">
        <v>86</v>
      </c>
      <c r="Q73" s="58" t="s">
        <v>84</v>
      </c>
      <c r="R73" s="27" t="s">
        <v>85</v>
      </c>
      <c r="S73" s="57" t="s">
        <v>86</v>
      </c>
      <c r="T73" s="58" t="s">
        <v>84</v>
      </c>
      <c r="U73" s="27" t="s">
        <v>85</v>
      </c>
      <c r="V73" s="55" t="s">
        <v>86</v>
      </c>
      <c r="W73" s="56" t="s">
        <v>84</v>
      </c>
      <c r="X73" s="27" t="s">
        <v>85</v>
      </c>
      <c r="Y73" s="57" t="s">
        <v>86</v>
      </c>
      <c r="Z73" s="58" t="s">
        <v>84</v>
      </c>
      <c r="AA73" s="27" t="s">
        <v>85</v>
      </c>
      <c r="AB73" s="55" t="s">
        <v>86</v>
      </c>
      <c r="AC73" s="56" t="s">
        <v>84</v>
      </c>
      <c r="AD73" s="27" t="s">
        <v>85</v>
      </c>
      <c r="AE73" s="57" t="s">
        <v>86</v>
      </c>
      <c r="AF73" s="58" t="s">
        <v>84</v>
      </c>
      <c r="AG73" s="27" t="s">
        <v>85</v>
      </c>
      <c r="AH73" s="57" t="s">
        <v>86</v>
      </c>
    </row>
    <row r="74">
      <c r="A74" s="31" t="s">
        <v>140</v>
      </c>
      <c r="B74" s="45"/>
      <c r="C74" s="45"/>
      <c r="D74" s="74"/>
      <c r="E74" s="75"/>
      <c r="F74" s="45"/>
      <c r="G74" s="74"/>
      <c r="H74" s="75"/>
      <c r="I74" s="45"/>
      <c r="J74" s="76"/>
      <c r="K74" s="77"/>
      <c r="L74" s="45"/>
      <c r="M74" s="74"/>
      <c r="N74" s="75"/>
      <c r="O74" s="45"/>
      <c r="P74" s="76"/>
      <c r="Q74" s="77"/>
      <c r="R74" s="45"/>
      <c r="S74" s="76"/>
      <c r="T74" s="77"/>
      <c r="U74" s="45"/>
      <c r="V74" s="74"/>
      <c r="W74" s="75"/>
      <c r="X74" s="45"/>
      <c r="Y74" s="76"/>
      <c r="Z74" s="77"/>
      <c r="AA74" s="45"/>
      <c r="AB74" s="74"/>
      <c r="AC74" s="75"/>
      <c r="AD74" s="75"/>
      <c r="AE74" s="76"/>
      <c r="AF74" s="77"/>
      <c r="AG74" s="75"/>
      <c r="AH74" s="45"/>
    </row>
    <row r="75">
      <c r="A75" s="31" t="s">
        <v>143</v>
      </c>
      <c r="B75" s="45"/>
      <c r="C75" s="45"/>
      <c r="D75" s="74"/>
      <c r="E75" s="75"/>
      <c r="F75" s="45"/>
      <c r="G75" s="74"/>
      <c r="H75" s="75"/>
      <c r="I75" s="45"/>
      <c r="J75" s="76"/>
      <c r="K75" s="77"/>
      <c r="L75" s="45"/>
      <c r="M75" s="74"/>
      <c r="N75" s="75"/>
      <c r="O75" s="45"/>
      <c r="P75" s="76"/>
      <c r="Q75" s="77"/>
      <c r="R75" s="45"/>
      <c r="S75" s="76"/>
      <c r="T75" s="77"/>
      <c r="U75" s="45"/>
      <c r="V75" s="74"/>
      <c r="W75" s="75"/>
      <c r="X75" s="45"/>
      <c r="Y75" s="76"/>
      <c r="Z75" s="77"/>
      <c r="AA75" s="45"/>
      <c r="AB75" s="74"/>
      <c r="AC75" s="75"/>
      <c r="AD75" s="75"/>
      <c r="AE75" s="76"/>
      <c r="AF75" s="77"/>
      <c r="AG75" s="75"/>
      <c r="AH75" s="45"/>
    </row>
    <row r="76">
      <c r="A76" s="31" t="s">
        <v>145</v>
      </c>
      <c r="B76" s="45"/>
      <c r="C76" s="45"/>
      <c r="D76" s="74"/>
      <c r="E76" s="75"/>
      <c r="F76" s="45"/>
      <c r="G76" s="74"/>
      <c r="H76" s="75"/>
      <c r="I76" s="45"/>
      <c r="J76" s="76"/>
      <c r="K76" s="77"/>
      <c r="L76" s="45"/>
      <c r="M76" s="74"/>
      <c r="N76" s="75"/>
      <c r="O76" s="45"/>
      <c r="P76" s="76"/>
      <c r="Q76" s="77"/>
      <c r="R76" s="45"/>
      <c r="S76" s="76"/>
      <c r="T76" s="77"/>
      <c r="U76" s="45"/>
      <c r="V76" s="74"/>
      <c r="W76" s="75"/>
      <c r="X76" s="45"/>
      <c r="Y76" s="76"/>
      <c r="Z76" s="77"/>
      <c r="AA76" s="45"/>
      <c r="AB76" s="74"/>
      <c r="AC76" s="75"/>
      <c r="AD76" s="75"/>
      <c r="AE76" s="76"/>
      <c r="AF76" s="77"/>
      <c r="AG76" s="75"/>
      <c r="AH76" s="45"/>
    </row>
    <row r="77">
      <c r="A77" s="31" t="s">
        <v>146</v>
      </c>
      <c r="B77" s="45"/>
      <c r="C77" s="45"/>
      <c r="D77" s="74"/>
      <c r="E77" s="75"/>
      <c r="F77" s="45"/>
      <c r="G77" s="74"/>
      <c r="H77" s="75"/>
      <c r="I77" s="45"/>
      <c r="J77" s="76"/>
      <c r="K77" s="77"/>
      <c r="L77" s="45"/>
      <c r="M77" s="74"/>
      <c r="N77" s="75"/>
      <c r="O77" s="45"/>
      <c r="P77" s="76"/>
      <c r="Q77" s="77"/>
      <c r="R77" s="45"/>
      <c r="S77" s="76"/>
      <c r="T77" s="77"/>
      <c r="U77" s="45"/>
      <c r="V77" s="74"/>
      <c r="W77" s="75"/>
      <c r="X77" s="45"/>
      <c r="Y77" s="76"/>
      <c r="Z77" s="77"/>
      <c r="AA77" s="45"/>
      <c r="AB77" s="74"/>
      <c r="AC77" s="75"/>
      <c r="AD77" s="75"/>
      <c r="AE77" s="76"/>
      <c r="AF77" s="77"/>
      <c r="AG77" s="75"/>
      <c r="AH77" s="45"/>
    </row>
    <row r="78">
      <c r="A78" s="31" t="s">
        <v>147</v>
      </c>
      <c r="B78" s="45"/>
      <c r="C78" s="45"/>
      <c r="D78" s="74"/>
      <c r="E78" s="75"/>
      <c r="F78" s="45"/>
      <c r="G78" s="74"/>
      <c r="H78" s="75"/>
      <c r="I78" s="45"/>
      <c r="J78" s="76"/>
      <c r="K78" s="77"/>
      <c r="L78" s="45"/>
      <c r="M78" s="74"/>
      <c r="N78" s="75"/>
      <c r="O78" s="45"/>
      <c r="P78" s="76"/>
      <c r="Q78" s="77"/>
      <c r="R78" s="45"/>
      <c r="S78" s="76"/>
      <c r="T78" s="77"/>
      <c r="U78" s="45"/>
      <c r="V78" s="74"/>
      <c r="W78" s="75"/>
      <c r="X78" s="45"/>
      <c r="Y78" s="76"/>
      <c r="Z78" s="77"/>
      <c r="AA78" s="45"/>
      <c r="AB78" s="74"/>
      <c r="AC78" s="75"/>
      <c r="AD78" s="75"/>
      <c r="AE78" s="76"/>
      <c r="AF78" s="77"/>
      <c r="AG78" s="75"/>
      <c r="AH78" s="45"/>
    </row>
    <row r="79">
      <c r="A79" s="31" t="s">
        <v>149</v>
      </c>
      <c r="B79" s="45"/>
      <c r="C79" s="45"/>
      <c r="D79" s="74"/>
      <c r="E79" s="75"/>
      <c r="F79" s="45"/>
      <c r="G79" s="74"/>
      <c r="H79" s="75"/>
      <c r="I79" s="45"/>
      <c r="J79" s="76"/>
      <c r="K79" s="77"/>
      <c r="L79" s="45"/>
      <c r="M79" s="74"/>
      <c r="N79" s="75"/>
      <c r="O79" s="45"/>
      <c r="P79" s="76"/>
      <c r="Q79" s="77"/>
      <c r="R79" s="45"/>
      <c r="S79" s="76"/>
      <c r="T79" s="77"/>
      <c r="U79" s="45"/>
      <c r="V79" s="74"/>
      <c r="W79" s="75"/>
      <c r="X79" s="45"/>
      <c r="Y79" s="76"/>
      <c r="Z79" s="77"/>
      <c r="AA79" s="45"/>
      <c r="AB79" s="74"/>
      <c r="AC79" s="75"/>
      <c r="AD79" s="75"/>
      <c r="AE79" s="76"/>
      <c r="AF79" s="77"/>
      <c r="AG79" s="75"/>
      <c r="AH79" s="45"/>
    </row>
    <row r="80">
      <c r="A80" s="31" t="s">
        <v>150</v>
      </c>
      <c r="B80" s="45"/>
      <c r="C80" s="45"/>
      <c r="D80" s="74"/>
      <c r="E80" s="75"/>
      <c r="F80" s="45"/>
      <c r="G80" s="74"/>
      <c r="H80" s="75"/>
      <c r="I80" s="45"/>
      <c r="J80" s="76"/>
      <c r="K80" s="77"/>
      <c r="L80" s="45"/>
      <c r="M80" s="74"/>
      <c r="N80" s="75"/>
      <c r="O80" s="45"/>
      <c r="P80" s="76"/>
      <c r="Q80" s="77"/>
      <c r="R80" s="45"/>
      <c r="S80" s="76"/>
      <c r="T80" s="77"/>
      <c r="U80" s="45"/>
      <c r="V80" s="74"/>
      <c r="W80" s="75"/>
      <c r="X80" s="45"/>
      <c r="Y80" s="76"/>
      <c r="Z80" s="77"/>
      <c r="AA80" s="45"/>
      <c r="AB80" s="74"/>
      <c r="AC80" s="75"/>
      <c r="AD80" s="75"/>
      <c r="AE80" s="76"/>
      <c r="AF80" s="77"/>
      <c r="AG80" s="75"/>
      <c r="AH80" s="45"/>
    </row>
    <row r="81">
      <c r="A81" s="31" t="s">
        <v>151</v>
      </c>
      <c r="B81" s="45"/>
      <c r="C81" s="45"/>
      <c r="D81" s="74"/>
      <c r="E81" s="75"/>
      <c r="F81" s="45"/>
      <c r="G81" s="74"/>
      <c r="H81" s="75"/>
      <c r="I81" s="45"/>
      <c r="J81" s="76"/>
      <c r="K81" s="77"/>
      <c r="L81" s="45"/>
      <c r="M81" s="74"/>
      <c r="N81" s="75"/>
      <c r="O81" s="45"/>
      <c r="P81" s="76"/>
      <c r="Q81" s="77"/>
      <c r="R81" s="45"/>
      <c r="S81" s="76"/>
      <c r="T81" s="77"/>
      <c r="U81" s="45"/>
      <c r="V81" s="74"/>
      <c r="W81" s="75"/>
      <c r="X81" s="45"/>
      <c r="Y81" s="76"/>
      <c r="Z81" s="77"/>
      <c r="AA81" s="45"/>
      <c r="AB81" s="74"/>
      <c r="AC81" s="75"/>
      <c r="AD81" s="75"/>
      <c r="AE81" s="76"/>
      <c r="AF81" s="77"/>
      <c r="AG81" s="75"/>
      <c r="AH81" s="45"/>
    </row>
    <row r="82">
      <c r="A82" s="48" t="s">
        <v>152</v>
      </c>
      <c r="B82" s="45"/>
      <c r="C82" s="45"/>
      <c r="D82" s="74"/>
      <c r="E82" s="75"/>
      <c r="F82" s="45"/>
      <c r="G82" s="74"/>
      <c r="H82" s="75"/>
      <c r="I82" s="45"/>
      <c r="J82" s="76"/>
      <c r="K82" s="77"/>
      <c r="L82" s="45"/>
      <c r="M82" s="74"/>
      <c r="N82" s="75"/>
      <c r="O82" s="45"/>
      <c r="P82" s="76"/>
      <c r="Q82" s="77"/>
      <c r="R82" s="45"/>
      <c r="S82" s="76"/>
      <c r="T82" s="77"/>
      <c r="U82" s="45"/>
      <c r="V82" s="74"/>
      <c r="W82" s="75"/>
      <c r="X82" s="45"/>
      <c r="Y82" s="76"/>
      <c r="Z82" s="77"/>
      <c r="AA82" s="45"/>
      <c r="AB82" s="74"/>
      <c r="AC82" s="75"/>
      <c r="AD82" s="75"/>
      <c r="AE82" s="76"/>
      <c r="AF82" s="77"/>
      <c r="AG82" s="75"/>
      <c r="AH82" s="45"/>
    </row>
    <row r="83">
      <c r="A83" s="31" t="s">
        <v>153</v>
      </c>
      <c r="B83" s="45"/>
      <c r="C83" s="45"/>
      <c r="D83" s="74"/>
      <c r="E83" s="75"/>
      <c r="F83" s="45"/>
      <c r="G83" s="74"/>
      <c r="H83" s="75"/>
      <c r="I83" s="45"/>
      <c r="J83" s="76"/>
      <c r="K83" s="77"/>
      <c r="L83" s="45"/>
      <c r="M83" s="74"/>
      <c r="N83" s="75"/>
      <c r="O83" s="45"/>
      <c r="P83" s="76"/>
      <c r="Q83" s="77"/>
      <c r="R83" s="45"/>
      <c r="S83" s="76"/>
      <c r="T83" s="77"/>
      <c r="U83" s="45"/>
      <c r="V83" s="74"/>
      <c r="W83" s="75"/>
      <c r="X83" s="45"/>
      <c r="Y83" s="76"/>
      <c r="Z83" s="77"/>
      <c r="AA83" s="45"/>
      <c r="AB83" s="74"/>
      <c r="AC83" s="75"/>
      <c r="AD83" s="75"/>
      <c r="AE83" s="76"/>
      <c r="AF83" s="77"/>
      <c r="AG83" s="75"/>
      <c r="AH83" s="45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ataValidations>
    <dataValidation type="list" allowBlank="1" showErrorMessage="1" sqref="C13:M13">
      <formula1>"קיים,1 בלאי,2 בלאי, 1 חוסר,2 חוסר"</formula1>
    </dataValidation>
    <dataValidation type="list" allowBlank="1" showErrorMessage="1" sqref="C3:M12 C14:M68">
      <formula1>"קיים,בלאי,חוסר"</formula1>
    </dataValidation>
  </dataValidations>
  <drawing r:id="rId1"/>
  <tableParts count="1">
    <tablePart r:id="rId3"/>
  </tableParts>
</worksheet>
</file>