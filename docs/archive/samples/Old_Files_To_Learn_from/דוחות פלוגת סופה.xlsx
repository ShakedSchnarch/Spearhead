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1" sheetId="1" r:id="rId5"/>
    <sheet state="visible" name="שבוע 3" sheetId="2" r:id="rId6"/>
  </sheets>
  <definedNames/>
  <calcPr/>
</workbook>
</file>

<file path=xl/sharedStrings.xml><?xml version="1.0" encoding="utf-8"?>
<sst xmlns="http://schemas.openxmlformats.org/spreadsheetml/2006/main" count="1933" uniqueCount="165">
  <si>
    <t xml:space="preserve">דוח זיווד </t>
  </si>
  <si>
    <t>תחמושת</t>
  </si>
  <si>
    <t>הפריט</t>
  </si>
  <si>
    <t>תקן</t>
  </si>
  <si>
    <t>צ' 457- נוימרק</t>
  </si>
  <si>
    <t>צ' 424-פביאן</t>
  </si>
  <si>
    <t>צ' 643-יונתן טל</t>
  </si>
  <si>
    <t>צ׳ 259- שני</t>
  </si>
  <si>
    <t>צ'534-זיו</t>
  </si>
  <si>
    <t>צ' 632-דה קסטרו</t>
  </si>
  <si>
    <t>צ'416- נטע</t>
  </si>
  <si>
    <t>צ' 532-סאפר</t>
  </si>
  <si>
    <t>סהכ חוסרים\בלאי פלוגתי</t>
  </si>
  <si>
    <t>סהכ פלוגתי</t>
  </si>
  <si>
    <t>חבל פריסה</t>
  </si>
  <si>
    <t>קיים</t>
  </si>
  <si>
    <t>קיים 2</t>
  </si>
  <si>
    <t>בלאי</t>
  </si>
  <si>
    <t>6 תקין, 2 בלאי</t>
  </si>
  <si>
    <t>מאג</t>
  </si>
  <si>
    <t>פטיש 5</t>
  </si>
  <si>
    <t>7 תקין, 1 בלאי</t>
  </si>
  <si>
    <t>ראשוני</t>
  </si>
  <si>
    <t>חלול</t>
  </si>
  <si>
    <t>איציק</t>
  </si>
  <si>
    <t>8 תקין</t>
  </si>
  <si>
    <t>חצב</t>
  </si>
  <si>
    <t>לום</t>
  </si>
  <si>
    <t>חוסר</t>
  </si>
  <si>
    <t>7 תקין, 1 חסר</t>
  </si>
  <si>
    <t xml:space="preserve">כלנית </t>
  </si>
  <si>
    <t>מאריך חש"ן</t>
  </si>
  <si>
    <t>חץ</t>
  </si>
  <si>
    <t>בייבי קוני</t>
  </si>
  <si>
    <t>רימון רסס</t>
  </si>
  <si>
    <t>משלק</t>
  </si>
  <si>
    <t>רימון עשן</t>
  </si>
  <si>
    <t>פטיש קילו</t>
  </si>
  <si>
    <t>מרגמה 60 נפיץ</t>
  </si>
  <si>
    <t>מפתח Y</t>
  </si>
  <si>
    <t>מרגמה 60 תאורה</t>
  </si>
  <si>
    <t xml:space="preserve">2מפתח פלטות </t>
  </si>
  <si>
    <t xml:space="preserve"> 1 חוסר</t>
  </si>
  <si>
    <t>מעיל רוח</t>
  </si>
  <si>
    <t>בוקסה 1\5\16</t>
  </si>
  <si>
    <t>מטען ניתוק זחל</t>
  </si>
  <si>
    <t>ידית כוח חצי</t>
  </si>
  <si>
    <t>נונל</t>
  </si>
  <si>
    <t>ידית כוח 3\4</t>
  </si>
  <si>
    <t>מחט ירי</t>
  </si>
  <si>
    <t>אלונקה</t>
  </si>
  <si>
    <t>דוח אמצעים</t>
  </si>
  <si>
    <t>9מקלות חוטר</t>
  </si>
  <si>
    <t>מפתח כליר</t>
  </si>
  <si>
    <t>שרשרת גרירה</t>
  </si>
  <si>
    <t>תיק כלי עבודה</t>
  </si>
  <si>
    <t>שאקל 25</t>
  </si>
  <si>
    <t>בוקסה 1 1\2</t>
  </si>
  <si>
    <t>שאקל קרנף</t>
  </si>
  <si>
    <t>בוקסה 9\16</t>
  </si>
  <si>
    <t>שאקל 5</t>
  </si>
  <si>
    <t>מאריך ארוך 1\2</t>
  </si>
  <si>
    <t>סט שיני חזיר\נג"ח</t>
  </si>
  <si>
    <t>מאריך קצר 1\2</t>
  </si>
  <si>
    <t>מאריך ארוך 3\4</t>
  </si>
  <si>
    <t>דוח ציוד קשר</t>
  </si>
  <si>
    <t>מאריך קצר 3\4</t>
  </si>
  <si>
    <t>מפרק חצי</t>
  </si>
  <si>
    <t>מקמש</t>
  </si>
  <si>
    <t>גריקן 20 ליטר</t>
  </si>
  <si>
    <t>גנטקס</t>
  </si>
  <si>
    <t>פוט שוש</t>
  </si>
  <si>
    <t>פתיל</t>
  </si>
  <si>
    <t>גבקה</t>
  </si>
  <si>
    <t>מעד</t>
  </si>
  <si>
    <t>פטיש עיסית</t>
  </si>
  <si>
    <t>4 תקין, 4 חסר</t>
  </si>
  <si>
    <t>מיק חירום</t>
  </si>
  <si>
    <t>אלונקת מעוז</t>
  </si>
  <si>
    <t>6 תקין, 2 חסר</t>
  </si>
  <si>
    <t>רמק</t>
  </si>
  <si>
    <t>ראצר סדן</t>
  </si>
  <si>
    <t>בורג עין</t>
  </si>
  <si>
    <t>פיסת אבטחה</t>
  </si>
  <si>
    <t>דוח צלם- נוספים</t>
  </si>
  <si>
    <t>דוח סמים</t>
  </si>
  <si>
    <t>בוחן מעגלי ירי</t>
  </si>
  <si>
    <t>הצלם</t>
  </si>
  <si>
    <t>צ'</t>
  </si>
  <si>
    <t>מיקום</t>
  </si>
  <si>
    <t>תקין\פירוט התקלה</t>
  </si>
  <si>
    <t>האמצעי</t>
  </si>
  <si>
    <t>תוקף</t>
  </si>
  <si>
    <t>פודל</t>
  </si>
  <si>
    <t>מ.ק</t>
  </si>
  <si>
    <t>מטאור 5</t>
  </si>
  <si>
    <t>תקין</t>
  </si>
  <si>
    <t>אקטיק 01</t>
  </si>
  <si>
    <t>על החופל</t>
  </si>
  <si>
    <t>פליז</t>
  </si>
  <si>
    <t>אקטיק 02</t>
  </si>
  <si>
    <t>נגח חולץ</t>
  </si>
  <si>
    <t>מטאור 6</t>
  </si>
  <si>
    <t>גביע חליצה</t>
  </si>
  <si>
    <t xml:space="preserve">מ.ק </t>
  </si>
  <si>
    <t>כבל הנעה</t>
  </si>
  <si>
    <t>מד מומנט</t>
  </si>
  <si>
    <t>2 תקין, 3 חסר, 3 בלאי</t>
  </si>
  <si>
    <t>זרקור עזר</t>
  </si>
  <si>
    <t>6 תקין. 1 חסר, 1 בלאי</t>
  </si>
  <si>
    <t>מברג קנ"ר</t>
  </si>
  <si>
    <t>גק ערבי</t>
  </si>
  <si>
    <t>שוש אייל</t>
  </si>
  <si>
    <t>את חפירה</t>
  </si>
  <si>
    <t>7 תקין. 1 בלאי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</si>
  <si>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</si>
  <si>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</si>
  <si>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</si>
  <si>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</si>
  <si>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</si>
  <si>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</si>
  <si>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</si>
  <si>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</si>
  <si>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</si>
  <si>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</si>
  <si>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3 קיים, 5 חסר</t>
  </si>
  <si>
    <t>כיסוי 05</t>
  </si>
  <si>
    <t>2 קיים, 6 חסר</t>
  </si>
  <si>
    <t>מברשת בית בליעה</t>
  </si>
  <si>
    <t>8 קיים</t>
  </si>
  <si>
    <t>ידית T</t>
  </si>
  <si>
    <t>ראצר 3\4</t>
  </si>
  <si>
    <t>7 קיים, 1 חסר</t>
  </si>
  <si>
    <t>ראצר חצי</t>
  </si>
  <si>
    <t>איזמל</t>
  </si>
  <si>
    <t>5 קיים, 3 חסר</t>
  </si>
  <si>
    <t>מברשת 4</t>
  </si>
  <si>
    <t>שפכטל</t>
  </si>
  <si>
    <t>מגזרי תיל</t>
  </si>
  <si>
    <t>7 קיים, 1 בלאי</t>
  </si>
  <si>
    <t>מפתח שוודי</t>
  </si>
  <si>
    <t>טנק 457-נוימרק</t>
  </si>
  <si>
    <t>טנק 424-פביאן</t>
  </si>
  <si>
    <t>טנק 643-יונתן טל</t>
  </si>
  <si>
    <t>טנק 259-שני</t>
  </si>
  <si>
    <t>טנק 534-זיו</t>
  </si>
  <si>
    <t>טנק 632- דה קסטרו</t>
  </si>
  <si>
    <t>טנק 416-נטע</t>
  </si>
  <si>
    <t>טנק 532-סאפר</t>
  </si>
  <si>
    <t>מאג 1</t>
  </si>
  <si>
    <t xml:space="preserve">תקין </t>
  </si>
  <si>
    <t>נגב 88</t>
  </si>
  <si>
    <t>מאג 2</t>
  </si>
  <si>
    <t>מקלע 05</t>
  </si>
  <si>
    <t>מושבת</t>
  </si>
  <si>
    <t>אמרל</t>
  </si>
  <si>
    <t>משקפת</t>
  </si>
  <si>
    <t xml:space="preserve">קיים </t>
  </si>
  <si>
    <t>מצפן</t>
  </si>
  <si>
    <t>אולר</t>
  </si>
  <si>
    <t>בורוסייט</t>
  </si>
  <si>
    <t xml:space="preserve">מאופסן </t>
  </si>
  <si>
    <t>NFC</t>
  </si>
  <si>
    <t>מדיה\נר לילה</t>
  </si>
  <si>
    <t>שיני חזיר\נג"ח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</si>
</sst>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15">
    <font>
      <sz val="10.0"/>
      <color rgb="FF000000"/>
      <name val="Arial"/>
      <scheme val="minor"/>
    </font>
    <font>
      <b/>
      <sz val="32.0"/>
      <color theme="1"/>
      <name val="Arial"/>
      <scheme val="minor"/>
    </font>
    <font>
      <sz val="32.0"/>
      <color theme="1"/>
      <name val="Arial"/>
      <scheme val="minor"/>
    </font>
    <font>
      <b/>
      <sz val="46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202124"/>
      <name val="Arial"/>
    </font>
    <font>
      <color theme="1"/>
      <name val="Arial"/>
    </font>
    <font>
      <b/>
      <sz val="11.0"/>
      <color theme="1"/>
      <name val="Arial"/>
      <scheme val="minor"/>
    </font>
    <font>
      <b/>
      <sz val="22.0"/>
      <color theme="1"/>
      <name val="Arial"/>
      <scheme val="minor"/>
    </font>
    <font>
      <b/>
      <sz val="22.0"/>
      <color theme="1"/>
      <name val="Arial"/>
    </font>
    <font>
      <b/>
      <color theme="1"/>
      <name val="Arial"/>
    </font>
    <font>
      <b/>
      <sz val="10.0"/>
      <color rgb="FF202124"/>
      <name val="Arial"/>
    </font>
    <font>
      <b/>
      <sz val="2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readingOrder="0" vertical="center"/>
    </xf>
    <xf borderId="4" fillId="3" fontId="5" numFmtId="0" xfId="0" applyAlignment="1" applyBorder="1" applyFill="1" applyFont="1">
      <alignment readingOrder="0"/>
    </xf>
    <xf borderId="4" fillId="3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shrinkToFit="0" wrapText="1"/>
    </xf>
    <xf borderId="4" fillId="0" fontId="6" numFmtId="0" xfId="0" applyBorder="1" applyFont="1"/>
    <xf borderId="0" fillId="0" fontId="5" numFmtId="0" xfId="0" applyAlignment="1" applyFont="1">
      <alignment horizontal="center" readingOrder="0"/>
    </xf>
    <xf borderId="4" fillId="4" fontId="7" numFmtId="0" xfId="0" applyAlignment="1" applyBorder="1" applyFill="1" applyFont="1">
      <alignment horizontal="right" readingOrder="0" shrinkToFit="0" wrapText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4" fillId="4" fontId="9" numFmtId="0" xfId="0" applyAlignment="1" applyBorder="1" applyFont="1">
      <alignment readingOrder="0"/>
    </xf>
    <xf borderId="4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/>
    </xf>
    <xf borderId="4" fillId="5" fontId="5" numFmtId="0" xfId="0" applyAlignment="1" applyBorder="1" applyFill="1" applyFont="1">
      <alignment horizontal="center" readingOrder="0"/>
    </xf>
    <xf borderId="4" fillId="6" fontId="7" numFmtId="0" xfId="0" applyAlignment="1" applyBorder="1" applyFill="1" applyFont="1">
      <alignment horizontal="right" readingOrder="0" shrinkToFit="0" wrapText="0"/>
    </xf>
    <xf borderId="1" fillId="2" fontId="11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4" fillId="0" fontId="8" numFmtId="0" xfId="0" applyBorder="1" applyFont="1"/>
    <xf borderId="0" fillId="0" fontId="12" numFmtId="0" xfId="0" applyAlignment="1" applyFont="1">
      <alignment horizontal="center" readingOrder="0"/>
    </xf>
    <xf borderId="4" fillId="6" fontId="13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readingOrder="0"/>
    </xf>
    <xf borderId="0" fillId="0" fontId="8" numFmtId="0" xfId="0" applyFont="1"/>
    <xf borderId="0" fillId="6" fontId="13" numFmtId="0" xfId="0" applyAlignment="1" applyFont="1">
      <alignment horizontal="center" readingOrder="0" shrinkToFit="0" wrapText="0"/>
    </xf>
    <xf borderId="1" fillId="2" fontId="14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4" fillId="0" fontId="6" numFmtId="164" xfId="0" applyAlignment="1" applyBorder="1" applyFont="1" applyNumberFormat="1">
      <alignment horizontal="center" readingOrder="0"/>
    </xf>
    <xf borderId="4" fillId="6" fontId="7" numFmtId="0" xfId="0" applyAlignment="1" applyBorder="1" applyFont="1">
      <alignment horizontal="right" readingOrder="0" shrinkToFit="0" wrapText="1"/>
    </xf>
    <xf borderId="0" fillId="2" fontId="5" numFmtId="0" xfId="0" applyAlignment="1" applyFont="1">
      <alignment horizontal="center" readingOrder="0"/>
    </xf>
    <xf borderId="5" fillId="0" fontId="4" numFmtId="0" xfId="0" applyBorder="1" applyFont="1"/>
    <xf borderId="6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5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1" fillId="5" fontId="5" numFmtId="0" xfId="0" applyAlignment="1" applyBorder="1" applyFont="1">
      <alignment horizontal="center" readingOrder="0"/>
    </xf>
    <xf borderId="10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שבוע 1-style">
      <tableStyleElement dxfId="1" type="headerRow"/>
      <tableStyleElement dxfId="2" type="firstRowStripe"/>
      <tableStyleElement dxfId="3" type="secondRowStripe"/>
    </tableStyle>
    <tableStyle count="3" pivot="0" name="שבוע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3:D5" displayName="Table_1" name="Table_1" id="1">
  <tableColumns count="2">
    <tableColumn name="קיים" id="1"/>
    <tableColumn name="קיים 2" id="2"/>
  </tableColumns>
  <tableStyleInfo name="שבוע 1-style" showColumnStripes="0" showFirstColumn="1" showLastColumn="1" showRowStripes="1"/>
</table>
</file>

<file path=xl/tables/table2.xml><?xml version="1.0" encoding="utf-8"?>
<table xmlns="http://schemas.openxmlformats.org/spreadsheetml/2006/main" ref="C3:D5" displayName="Table_2" name="Table_2" id="2">
  <tableColumns count="2">
    <tableColumn name="קיים" id="1"/>
    <tableColumn name="קיים 2" id="2"/>
  </tableColumns>
  <tableStyleInfo name="שבוע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1" max="11" width="17.13"/>
    <col customWidth="1" min="12" max="12" width="15.38"/>
  </cols>
  <sheetData>
    <row r="1" ht="5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6"/>
      <c r="AA1" s="7"/>
      <c r="AB1" s="7"/>
      <c r="AC1" s="7"/>
      <c r="AD1" s="3"/>
      <c r="AE1" s="3"/>
      <c r="AF1" s="3"/>
      <c r="AG1" s="3"/>
      <c r="AH1" s="3"/>
    </row>
    <row r="2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10" t="s">
        <v>12</v>
      </c>
      <c r="P2" s="11"/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13</v>
      </c>
      <c r="AA2" s="12"/>
      <c r="AB2" s="12"/>
      <c r="AC2" s="12"/>
    </row>
    <row r="3">
      <c r="A3" s="13" t="s">
        <v>14</v>
      </c>
      <c r="B3" s="14">
        <v>1.0</v>
      </c>
      <c r="C3" s="15" t="s">
        <v>15</v>
      </c>
      <c r="D3" s="15" t="s">
        <v>16</v>
      </c>
      <c r="E3" s="15" t="s">
        <v>15</v>
      </c>
      <c r="F3" s="15" t="s">
        <v>15</v>
      </c>
      <c r="G3" s="15" t="s">
        <v>15</v>
      </c>
      <c r="H3" s="15" t="s">
        <v>17</v>
      </c>
      <c r="I3" s="15" t="s">
        <v>15</v>
      </c>
      <c r="J3" s="15" t="s">
        <v>17</v>
      </c>
      <c r="K3" s="16" t="s">
        <v>18</v>
      </c>
      <c r="P3" s="17" t="s">
        <v>19</v>
      </c>
      <c r="Q3" s="18">
        <v>40.0</v>
      </c>
      <c r="R3" s="18">
        <v>40.0</v>
      </c>
      <c r="S3" s="18">
        <v>40.0</v>
      </c>
      <c r="T3" s="18">
        <v>40.0</v>
      </c>
      <c r="U3" s="18">
        <v>40.0</v>
      </c>
      <c r="V3" s="18">
        <v>40.0</v>
      </c>
      <c r="W3" s="18">
        <v>40.0</v>
      </c>
      <c r="X3" s="18">
        <v>40.0</v>
      </c>
      <c r="Y3" s="18">
        <v>40.0</v>
      </c>
      <c r="Z3" s="18">
        <v>320.0</v>
      </c>
      <c r="AA3" s="17" t="s">
        <v>19</v>
      </c>
    </row>
    <row r="4">
      <c r="A4" s="13" t="s">
        <v>20</v>
      </c>
      <c r="B4" s="14">
        <v>1.0</v>
      </c>
      <c r="C4" s="15" t="s">
        <v>15</v>
      </c>
      <c r="D4" s="15" t="s">
        <v>15</v>
      </c>
      <c r="E4" s="15" t="s">
        <v>15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17</v>
      </c>
      <c r="K4" s="16" t="s">
        <v>21</v>
      </c>
      <c r="P4" s="19">
        <v>0.5</v>
      </c>
      <c r="Q4" s="18">
        <v>2.0</v>
      </c>
      <c r="R4" s="18">
        <v>2.0</v>
      </c>
      <c r="S4" s="18">
        <v>2.0</v>
      </c>
      <c r="T4" s="18">
        <v>2.0</v>
      </c>
      <c r="U4" s="18">
        <v>2.0</v>
      </c>
      <c r="V4" s="18">
        <v>2.0</v>
      </c>
      <c r="W4" s="18">
        <v>2.0</v>
      </c>
      <c r="X4" s="18">
        <v>2.0</v>
      </c>
      <c r="Y4" s="18">
        <v>2.0</v>
      </c>
      <c r="Z4" s="18">
        <v>16.0</v>
      </c>
      <c r="AA4" s="19">
        <v>0.5</v>
      </c>
    </row>
    <row r="5">
      <c r="A5" s="13" t="s">
        <v>22</v>
      </c>
      <c r="B5" s="14">
        <v>1.0</v>
      </c>
      <c r="C5" s="15" t="s">
        <v>17</v>
      </c>
      <c r="D5" s="15" t="s">
        <v>15</v>
      </c>
      <c r="E5" s="15" t="s">
        <v>17</v>
      </c>
      <c r="F5" s="15" t="s">
        <v>15</v>
      </c>
      <c r="G5" s="15" t="s">
        <v>15</v>
      </c>
      <c r="H5" s="15" t="s">
        <v>15</v>
      </c>
      <c r="I5" s="15" t="s">
        <v>15</v>
      </c>
      <c r="J5" s="15" t="s">
        <v>15</v>
      </c>
      <c r="K5" s="16" t="s">
        <v>18</v>
      </c>
      <c r="P5" s="17" t="s">
        <v>23</v>
      </c>
      <c r="Q5" s="18">
        <v>10.0</v>
      </c>
      <c r="R5" s="18">
        <v>0.0</v>
      </c>
      <c r="S5" s="18">
        <v>4.0</v>
      </c>
      <c r="T5" s="18">
        <v>8.0</v>
      </c>
      <c r="U5" s="18">
        <v>7.0</v>
      </c>
      <c r="V5" s="18">
        <v>5.0</v>
      </c>
      <c r="W5" s="18">
        <v>8.0</v>
      </c>
      <c r="X5" s="18">
        <v>8.0</v>
      </c>
      <c r="Y5" s="18">
        <v>12.0</v>
      </c>
      <c r="Z5" s="18">
        <v>52.0</v>
      </c>
      <c r="AA5" s="17" t="s">
        <v>23</v>
      </c>
    </row>
    <row r="6">
      <c r="A6" s="13" t="s">
        <v>24</v>
      </c>
      <c r="B6" s="14">
        <v>1.0</v>
      </c>
      <c r="C6" s="15" t="s">
        <v>15</v>
      </c>
      <c r="D6" s="15" t="s">
        <v>15</v>
      </c>
      <c r="E6" s="15" t="s">
        <v>15</v>
      </c>
      <c r="F6" s="15" t="s">
        <v>15</v>
      </c>
      <c r="G6" s="15" t="s">
        <v>15</v>
      </c>
      <c r="H6" s="15" t="s">
        <v>15</v>
      </c>
      <c r="I6" s="15" t="s">
        <v>15</v>
      </c>
      <c r="J6" s="15" t="s">
        <v>15</v>
      </c>
      <c r="K6" s="16" t="s">
        <v>25</v>
      </c>
      <c r="P6" s="17" t="s">
        <v>26</v>
      </c>
      <c r="Q6" s="18">
        <v>17.0</v>
      </c>
      <c r="R6" s="18">
        <v>20.0</v>
      </c>
      <c r="S6" s="18">
        <v>17.0</v>
      </c>
      <c r="T6" s="18">
        <v>20.0</v>
      </c>
      <c r="U6" s="18">
        <v>18.0</v>
      </c>
      <c r="V6" s="18">
        <v>25.0</v>
      </c>
      <c r="W6" s="18">
        <v>27.0</v>
      </c>
      <c r="X6" s="18">
        <v>25.0</v>
      </c>
      <c r="Y6" s="18">
        <v>20.0</v>
      </c>
      <c r="Z6" s="18">
        <v>172.0</v>
      </c>
      <c r="AA6" s="17" t="s">
        <v>26</v>
      </c>
    </row>
    <row r="7">
      <c r="A7" s="13" t="s">
        <v>27</v>
      </c>
      <c r="B7" s="14">
        <v>1.0</v>
      </c>
      <c r="C7" s="15" t="s">
        <v>15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28</v>
      </c>
      <c r="I7" s="15" t="s">
        <v>15</v>
      </c>
      <c r="J7" s="15" t="s">
        <v>15</v>
      </c>
      <c r="K7" s="16" t="s">
        <v>29</v>
      </c>
      <c r="P7" s="17" t="s">
        <v>30</v>
      </c>
      <c r="Q7" s="18">
        <v>4.0</v>
      </c>
      <c r="R7" s="18">
        <v>1.0</v>
      </c>
      <c r="S7" s="18">
        <v>0.0</v>
      </c>
      <c r="T7" s="18">
        <v>2.0</v>
      </c>
      <c r="U7" s="18">
        <v>2.0</v>
      </c>
      <c r="V7" s="18">
        <v>0.0</v>
      </c>
      <c r="W7" s="18">
        <v>0.0</v>
      </c>
      <c r="X7" s="18">
        <v>0.0</v>
      </c>
      <c r="Y7" s="18">
        <v>0.0</v>
      </c>
      <c r="Z7" s="18">
        <v>5.0</v>
      </c>
      <c r="AA7" s="17" t="s">
        <v>30</v>
      </c>
    </row>
    <row r="8">
      <c r="A8" s="13" t="s">
        <v>31</v>
      </c>
      <c r="B8" s="14">
        <v>1.0</v>
      </c>
      <c r="C8" s="15" t="s">
        <v>15</v>
      </c>
      <c r="D8" s="15" t="s">
        <v>15</v>
      </c>
      <c r="E8" s="15" t="s">
        <v>15</v>
      </c>
      <c r="F8" s="15" t="s">
        <v>15</v>
      </c>
      <c r="G8" s="15" t="s">
        <v>15</v>
      </c>
      <c r="H8" s="15" t="s">
        <v>15</v>
      </c>
      <c r="I8" s="15" t="s">
        <v>15</v>
      </c>
      <c r="J8" s="15" t="s">
        <v>15</v>
      </c>
      <c r="K8" s="16" t="s">
        <v>25</v>
      </c>
      <c r="P8" s="17" t="s">
        <v>32</v>
      </c>
      <c r="Q8" s="18">
        <v>3.0</v>
      </c>
      <c r="R8" s="18">
        <v>0.0</v>
      </c>
      <c r="S8" s="18">
        <v>0.0</v>
      </c>
      <c r="T8" s="18">
        <v>3.0</v>
      </c>
      <c r="U8" s="18">
        <v>0.0</v>
      </c>
      <c r="V8" s="18">
        <v>0.0</v>
      </c>
      <c r="W8" s="18">
        <v>2.0</v>
      </c>
      <c r="X8" s="18">
        <v>0.0</v>
      </c>
      <c r="Y8" s="18">
        <v>0.0</v>
      </c>
      <c r="Z8" s="18">
        <v>5.0</v>
      </c>
      <c r="AA8" s="17" t="s">
        <v>32</v>
      </c>
    </row>
    <row r="9">
      <c r="A9" s="13" t="s">
        <v>33</v>
      </c>
      <c r="B9" s="14">
        <v>1.0</v>
      </c>
      <c r="C9" s="15" t="s">
        <v>15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15</v>
      </c>
      <c r="I9" s="15" t="s">
        <v>15</v>
      </c>
      <c r="J9" s="15" t="s">
        <v>15</v>
      </c>
      <c r="K9" s="16" t="s">
        <v>25</v>
      </c>
      <c r="P9" s="17" t="s">
        <v>34</v>
      </c>
      <c r="Q9" s="18">
        <v>4.0</v>
      </c>
      <c r="R9" s="18">
        <v>0.0</v>
      </c>
      <c r="S9" s="18">
        <v>0.0</v>
      </c>
      <c r="T9" s="18">
        <v>0.0</v>
      </c>
      <c r="U9" s="18">
        <v>0.0</v>
      </c>
      <c r="V9" s="18">
        <v>0.0</v>
      </c>
      <c r="W9" s="18">
        <v>0.0</v>
      </c>
      <c r="X9" s="18">
        <v>0.0</v>
      </c>
      <c r="Y9" s="18">
        <v>0.0</v>
      </c>
      <c r="Z9" s="18">
        <v>0.0</v>
      </c>
      <c r="AA9" s="17" t="s">
        <v>34</v>
      </c>
    </row>
    <row r="10">
      <c r="A10" s="13" t="s">
        <v>35</v>
      </c>
      <c r="B10" s="14">
        <v>1.0</v>
      </c>
      <c r="C10" s="15" t="s">
        <v>15</v>
      </c>
      <c r="D10" s="15" t="s">
        <v>15</v>
      </c>
      <c r="E10" s="15" t="s">
        <v>15</v>
      </c>
      <c r="F10" s="15" t="s">
        <v>15</v>
      </c>
      <c r="G10" s="15" t="s">
        <v>15</v>
      </c>
      <c r="H10" s="15" t="s">
        <v>15</v>
      </c>
      <c r="I10" s="15" t="s">
        <v>15</v>
      </c>
      <c r="J10" s="15" t="s">
        <v>15</v>
      </c>
      <c r="K10" s="16" t="s">
        <v>25</v>
      </c>
      <c r="P10" s="17" t="s">
        <v>36</v>
      </c>
      <c r="Q10" s="11"/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v>0.0</v>
      </c>
      <c r="AA10" s="17" t="s">
        <v>36</v>
      </c>
    </row>
    <row r="11">
      <c r="A11" s="13" t="s">
        <v>37</v>
      </c>
      <c r="B11" s="14">
        <v>1.0</v>
      </c>
      <c r="C11" s="15" t="s">
        <v>15</v>
      </c>
      <c r="D11" s="15" t="s">
        <v>15</v>
      </c>
      <c r="E11" s="15" t="s">
        <v>15</v>
      </c>
      <c r="F11" s="15" t="s">
        <v>15</v>
      </c>
      <c r="G11" s="15" t="s">
        <v>15</v>
      </c>
      <c r="H11" s="15" t="s">
        <v>15</v>
      </c>
      <c r="I11" s="15" t="s">
        <v>15</v>
      </c>
      <c r="J11" s="15" t="s">
        <v>15</v>
      </c>
      <c r="K11" s="16" t="s">
        <v>25</v>
      </c>
      <c r="P11" s="17" t="s">
        <v>38</v>
      </c>
      <c r="Q11" s="11"/>
      <c r="R11" s="18">
        <v>0.0</v>
      </c>
      <c r="S11" s="18">
        <v>0.0</v>
      </c>
      <c r="T11" s="18">
        <v>11.0</v>
      </c>
      <c r="U11" s="18">
        <v>0.0</v>
      </c>
      <c r="V11" s="18">
        <v>3.0</v>
      </c>
      <c r="W11" s="18">
        <v>0.0</v>
      </c>
      <c r="X11" s="18">
        <v>0.0</v>
      </c>
      <c r="Y11" s="18">
        <v>0.0</v>
      </c>
      <c r="Z11" s="18">
        <v>21.0</v>
      </c>
      <c r="AA11" s="17" t="s">
        <v>38</v>
      </c>
    </row>
    <row r="12">
      <c r="A12" s="13" t="s">
        <v>39</v>
      </c>
      <c r="B12" s="14">
        <v>1.0</v>
      </c>
      <c r="C12" s="15" t="s">
        <v>15</v>
      </c>
      <c r="D12" s="15" t="s">
        <v>15</v>
      </c>
      <c r="E12" s="15" t="s">
        <v>15</v>
      </c>
      <c r="F12" s="15" t="s">
        <v>15</v>
      </c>
      <c r="G12" s="15" t="s">
        <v>15</v>
      </c>
      <c r="H12" s="15" t="s">
        <v>15</v>
      </c>
      <c r="I12" s="15" t="s">
        <v>15</v>
      </c>
      <c r="J12" s="15" t="s">
        <v>15</v>
      </c>
      <c r="K12" s="16" t="s">
        <v>25</v>
      </c>
      <c r="P12" s="17" t="s">
        <v>40</v>
      </c>
      <c r="Q12" s="11"/>
      <c r="R12" s="18">
        <v>0.0</v>
      </c>
      <c r="S12" s="18">
        <v>0.0</v>
      </c>
      <c r="T12" s="18">
        <v>0.0</v>
      </c>
      <c r="U12" s="18">
        <v>0.0</v>
      </c>
      <c r="V12" s="18">
        <v>4.0</v>
      </c>
      <c r="W12" s="18">
        <v>3.0</v>
      </c>
      <c r="X12" s="18">
        <v>0.0</v>
      </c>
      <c r="Y12" s="18">
        <v>0.0</v>
      </c>
      <c r="Z12" s="18">
        <v>18.0</v>
      </c>
      <c r="AA12" s="17" t="s">
        <v>40</v>
      </c>
    </row>
    <row r="13">
      <c r="A13" s="20" t="s">
        <v>41</v>
      </c>
      <c r="B13" s="14">
        <v>2.0</v>
      </c>
      <c r="C13" s="21" t="s">
        <v>15</v>
      </c>
      <c r="D13" s="21" t="s">
        <v>15</v>
      </c>
      <c r="E13" s="21" t="s">
        <v>15</v>
      </c>
      <c r="F13" s="21" t="s">
        <v>15</v>
      </c>
      <c r="G13" s="21" t="s">
        <v>15</v>
      </c>
      <c r="H13" s="22" t="s">
        <v>42</v>
      </c>
      <c r="I13" s="21" t="s">
        <v>15</v>
      </c>
      <c r="J13" s="21" t="s">
        <v>15</v>
      </c>
      <c r="K13" s="16" t="s">
        <v>25</v>
      </c>
      <c r="P13" s="17" t="s">
        <v>43</v>
      </c>
      <c r="Q13" s="18">
        <v>6.0</v>
      </c>
      <c r="R13" s="18">
        <v>6.0</v>
      </c>
      <c r="S13" s="18">
        <v>6.0</v>
      </c>
      <c r="T13" s="18">
        <v>6.0</v>
      </c>
      <c r="U13" s="18">
        <v>4.0</v>
      </c>
      <c r="V13" s="18">
        <v>6.0</v>
      </c>
      <c r="W13" s="18">
        <v>4.0</v>
      </c>
      <c r="X13" s="18">
        <v>4.0</v>
      </c>
      <c r="Y13" s="18">
        <v>6.0</v>
      </c>
      <c r="Z13" s="18">
        <v>42.0</v>
      </c>
      <c r="AA13" s="17" t="s">
        <v>43</v>
      </c>
    </row>
    <row r="14">
      <c r="A14" s="13" t="s">
        <v>44</v>
      </c>
      <c r="B14" s="14">
        <v>1.0</v>
      </c>
      <c r="C14" s="15" t="s">
        <v>15</v>
      </c>
      <c r="D14" s="15" t="s">
        <v>15</v>
      </c>
      <c r="E14" s="15" t="s">
        <v>15</v>
      </c>
      <c r="F14" s="15" t="s">
        <v>28</v>
      </c>
      <c r="G14" s="15" t="s">
        <v>15</v>
      </c>
      <c r="H14" s="15" t="s">
        <v>15</v>
      </c>
      <c r="I14" s="15" t="s">
        <v>15</v>
      </c>
      <c r="J14" s="15" t="s">
        <v>15</v>
      </c>
      <c r="K14" s="16" t="s">
        <v>29</v>
      </c>
      <c r="P14" s="17" t="s">
        <v>45</v>
      </c>
      <c r="Q14" s="18">
        <v>1.0</v>
      </c>
      <c r="R14" s="18">
        <v>1.0</v>
      </c>
      <c r="S14" s="18">
        <v>1.0</v>
      </c>
      <c r="T14" s="18">
        <v>1.0</v>
      </c>
      <c r="U14" s="18">
        <v>0.0</v>
      </c>
      <c r="V14" s="18">
        <v>1.0</v>
      </c>
      <c r="W14" s="18">
        <v>0.0</v>
      </c>
      <c r="X14" s="18">
        <v>0.0</v>
      </c>
      <c r="Y14" s="18">
        <v>0.0</v>
      </c>
      <c r="Z14" s="18">
        <v>4.0</v>
      </c>
      <c r="AA14" s="17" t="s">
        <v>45</v>
      </c>
    </row>
    <row r="15">
      <c r="A15" s="13" t="s">
        <v>46</v>
      </c>
      <c r="B15" s="14">
        <v>1.0</v>
      </c>
      <c r="C15" s="15" t="s">
        <v>15</v>
      </c>
      <c r="D15" s="15" t="s">
        <v>15</v>
      </c>
      <c r="E15" s="15" t="s">
        <v>15</v>
      </c>
      <c r="F15" s="15" t="s">
        <v>15</v>
      </c>
      <c r="G15" s="15" t="s">
        <v>15</v>
      </c>
      <c r="H15" s="15" t="s">
        <v>15</v>
      </c>
      <c r="I15" s="15" t="s">
        <v>15</v>
      </c>
      <c r="J15" s="15" t="s">
        <v>15</v>
      </c>
      <c r="K15" s="16" t="s">
        <v>25</v>
      </c>
      <c r="P15" s="17" t="s">
        <v>47</v>
      </c>
      <c r="Q15" s="18">
        <v>1.0</v>
      </c>
      <c r="R15" s="18">
        <v>0.0</v>
      </c>
      <c r="S15" s="18">
        <v>1.0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v>1.0</v>
      </c>
      <c r="AA15" s="17" t="s">
        <v>47</v>
      </c>
    </row>
    <row r="16">
      <c r="A16" s="13" t="s">
        <v>48</v>
      </c>
      <c r="B16" s="14">
        <v>1.0</v>
      </c>
      <c r="C16" s="15" t="s">
        <v>15</v>
      </c>
      <c r="D16" s="15" t="s">
        <v>15</v>
      </c>
      <c r="E16" s="15" t="s">
        <v>15</v>
      </c>
      <c r="F16" s="15" t="s">
        <v>15</v>
      </c>
      <c r="G16" s="15" t="s">
        <v>15</v>
      </c>
      <c r="H16" s="15" t="s">
        <v>15</v>
      </c>
      <c r="I16" s="15" t="s">
        <v>15</v>
      </c>
      <c r="J16" s="15" t="s">
        <v>15</v>
      </c>
      <c r="K16" s="16" t="s">
        <v>25</v>
      </c>
    </row>
    <row r="17">
      <c r="A17" s="13" t="s">
        <v>49</v>
      </c>
      <c r="B17" s="14">
        <v>1.0</v>
      </c>
      <c r="C17" s="15" t="s">
        <v>15</v>
      </c>
      <c r="D17" s="15" t="s">
        <v>15</v>
      </c>
      <c r="E17" s="15" t="s">
        <v>15</v>
      </c>
      <c r="F17" s="15" t="s">
        <v>15</v>
      </c>
      <c r="G17" s="15" t="s">
        <v>15</v>
      </c>
      <c r="H17" s="15" t="s">
        <v>15</v>
      </c>
      <c r="I17" s="15" t="s">
        <v>15</v>
      </c>
      <c r="J17" s="15" t="s">
        <v>15</v>
      </c>
      <c r="K17" s="16" t="s">
        <v>25</v>
      </c>
    </row>
    <row r="18">
      <c r="A18" s="13" t="s">
        <v>50</v>
      </c>
      <c r="B18" s="14">
        <v>1.0</v>
      </c>
      <c r="C18" s="15" t="s">
        <v>15</v>
      </c>
      <c r="D18" s="15" t="s">
        <v>15</v>
      </c>
      <c r="E18" s="15" t="s">
        <v>15</v>
      </c>
      <c r="F18" s="15" t="s">
        <v>17</v>
      </c>
      <c r="G18" s="15" t="s">
        <v>15</v>
      </c>
      <c r="H18" s="15" t="s">
        <v>15</v>
      </c>
      <c r="I18" s="15" t="s">
        <v>15</v>
      </c>
      <c r="J18" s="15" t="s">
        <v>15</v>
      </c>
      <c r="K18" s="16" t="s">
        <v>21</v>
      </c>
      <c r="P18" s="23" t="s">
        <v>51</v>
      </c>
      <c r="Q18" s="5"/>
      <c r="R18" s="5"/>
      <c r="S18" s="5"/>
      <c r="T18" s="5"/>
      <c r="U18" s="5"/>
      <c r="V18" s="5"/>
      <c r="W18" s="5"/>
      <c r="X18" s="5"/>
      <c r="Y18" s="5"/>
      <c r="Z18" s="6"/>
      <c r="AA18" s="24"/>
      <c r="AB18" s="24"/>
      <c r="AC18" s="24"/>
    </row>
    <row r="19">
      <c r="A19" s="13" t="s">
        <v>52</v>
      </c>
      <c r="B19" s="14">
        <v>9.0</v>
      </c>
      <c r="C19" s="15" t="s">
        <v>15</v>
      </c>
      <c r="D19" s="15" t="s">
        <v>15</v>
      </c>
      <c r="E19" s="15" t="s">
        <v>15</v>
      </c>
      <c r="F19" s="15" t="s">
        <v>17</v>
      </c>
      <c r="G19" s="15" t="s">
        <v>15</v>
      </c>
      <c r="H19" s="15" t="s">
        <v>15</v>
      </c>
      <c r="I19" s="15" t="s">
        <v>15</v>
      </c>
      <c r="J19" s="15" t="s">
        <v>15</v>
      </c>
      <c r="K19" s="25"/>
      <c r="P19" s="26"/>
      <c r="Q19" s="9" t="s">
        <v>3</v>
      </c>
      <c r="R19" s="9" t="s">
        <v>4</v>
      </c>
      <c r="S19" s="9" t="s">
        <v>5</v>
      </c>
      <c r="T19" s="9" t="s">
        <v>6</v>
      </c>
      <c r="U19" s="9" t="s">
        <v>7</v>
      </c>
      <c r="V19" s="9" t="s">
        <v>8</v>
      </c>
      <c r="W19" s="9" t="s">
        <v>9</v>
      </c>
      <c r="X19" s="9" t="s">
        <v>10</v>
      </c>
      <c r="Y19" s="9" t="s">
        <v>11</v>
      </c>
      <c r="Z19" s="9" t="s">
        <v>13</v>
      </c>
      <c r="AA19" s="12"/>
      <c r="AB19" s="12"/>
      <c r="AC19" s="12"/>
    </row>
    <row r="20">
      <c r="A20" s="27" t="s">
        <v>53</v>
      </c>
      <c r="B20" s="14">
        <v>1.0</v>
      </c>
      <c r="C20" s="15" t="s">
        <v>15</v>
      </c>
      <c r="D20" s="15" t="s">
        <v>15</v>
      </c>
      <c r="E20" s="15" t="s">
        <v>15</v>
      </c>
      <c r="F20" s="15" t="s">
        <v>15</v>
      </c>
      <c r="G20" s="15" t="s">
        <v>15</v>
      </c>
      <c r="H20" s="15" t="s">
        <v>15</v>
      </c>
      <c r="I20" s="15" t="s">
        <v>15</v>
      </c>
      <c r="J20" s="15" t="s">
        <v>15</v>
      </c>
      <c r="K20" s="16" t="s">
        <v>25</v>
      </c>
      <c r="P20" s="17" t="s">
        <v>54</v>
      </c>
      <c r="Q20" s="14">
        <v>2.0</v>
      </c>
      <c r="R20" s="14">
        <v>3.0</v>
      </c>
      <c r="S20" s="18">
        <v>3.0</v>
      </c>
      <c r="T20" s="18">
        <v>2.0</v>
      </c>
      <c r="U20" s="18">
        <v>2.0</v>
      </c>
      <c r="V20" s="18">
        <v>3.0</v>
      </c>
      <c r="W20" s="18">
        <v>3.0</v>
      </c>
      <c r="X20" s="18">
        <v>3.0</v>
      </c>
      <c r="Y20" s="18">
        <v>2.0</v>
      </c>
      <c r="Z20" s="18">
        <v>18.0</v>
      </c>
    </row>
    <row r="21">
      <c r="A21" s="27" t="s">
        <v>55</v>
      </c>
      <c r="B21" s="14">
        <v>1.0</v>
      </c>
      <c r="C21" s="15" t="s">
        <v>15</v>
      </c>
      <c r="D21" s="15" t="s">
        <v>15</v>
      </c>
      <c r="E21" s="15" t="s">
        <v>15</v>
      </c>
      <c r="F21" s="15" t="s">
        <v>15</v>
      </c>
      <c r="G21" s="15" t="s">
        <v>15</v>
      </c>
      <c r="H21" s="15" t="s">
        <v>15</v>
      </c>
      <c r="I21" s="15" t="s">
        <v>15</v>
      </c>
      <c r="J21" s="15" t="s">
        <v>15</v>
      </c>
      <c r="K21" s="16" t="s">
        <v>21</v>
      </c>
      <c r="P21" s="17" t="s">
        <v>56</v>
      </c>
      <c r="Q21" s="14">
        <v>2.0</v>
      </c>
      <c r="R21" s="14">
        <v>4.0</v>
      </c>
      <c r="S21" s="18">
        <v>4.0</v>
      </c>
      <c r="T21" s="18">
        <v>2.0</v>
      </c>
      <c r="U21" s="18">
        <v>2.0</v>
      </c>
      <c r="V21" s="18">
        <v>2.0</v>
      </c>
      <c r="W21" s="18">
        <v>2.0</v>
      </c>
      <c r="X21" s="18">
        <v>2.0</v>
      </c>
      <c r="Y21" s="18">
        <v>2.0</v>
      </c>
      <c r="Z21" s="18">
        <v>18.0</v>
      </c>
    </row>
    <row r="22">
      <c r="A22" s="27" t="s">
        <v>57</v>
      </c>
      <c r="B22" s="14">
        <v>1.0</v>
      </c>
      <c r="C22" s="15" t="s">
        <v>15</v>
      </c>
      <c r="D22" s="15" t="s">
        <v>15</v>
      </c>
      <c r="E22" s="15" t="s">
        <v>15</v>
      </c>
      <c r="F22" s="15" t="s">
        <v>15</v>
      </c>
      <c r="G22" s="15" t="s">
        <v>15</v>
      </c>
      <c r="H22" s="15" t="s">
        <v>15</v>
      </c>
      <c r="I22" s="15" t="s">
        <v>15</v>
      </c>
      <c r="J22" s="15" t="s">
        <v>15</v>
      </c>
      <c r="K22" s="16" t="s">
        <v>25</v>
      </c>
      <c r="P22" s="17" t="s">
        <v>58</v>
      </c>
      <c r="Q22" s="14">
        <v>2.0</v>
      </c>
      <c r="R22" s="14">
        <v>2.0</v>
      </c>
      <c r="S22" s="18">
        <v>2.0</v>
      </c>
      <c r="T22" s="18">
        <v>2.0</v>
      </c>
      <c r="U22" s="18">
        <v>2.0</v>
      </c>
      <c r="V22" s="18">
        <v>2.0</v>
      </c>
      <c r="W22" s="18">
        <v>2.0</v>
      </c>
      <c r="X22" s="18">
        <v>2.0</v>
      </c>
      <c r="Y22" s="18">
        <v>2.0</v>
      </c>
      <c r="Z22" s="18">
        <v>16.0</v>
      </c>
    </row>
    <row r="23">
      <c r="A23" s="27" t="s">
        <v>59</v>
      </c>
      <c r="B23" s="14">
        <v>1.0</v>
      </c>
      <c r="C23" s="15" t="s">
        <v>15</v>
      </c>
      <c r="D23" s="15" t="s">
        <v>15</v>
      </c>
      <c r="E23" s="15" t="s">
        <v>15</v>
      </c>
      <c r="F23" s="15" t="s">
        <v>15</v>
      </c>
      <c r="G23" s="15" t="s">
        <v>28</v>
      </c>
      <c r="H23" s="15" t="s">
        <v>15</v>
      </c>
      <c r="I23" s="15" t="s">
        <v>15</v>
      </c>
      <c r="J23" s="15" t="s">
        <v>15</v>
      </c>
      <c r="K23" s="16" t="s">
        <v>29</v>
      </c>
      <c r="P23" s="17" t="s">
        <v>60</v>
      </c>
      <c r="Q23" s="14">
        <v>2.0</v>
      </c>
      <c r="R23" s="14">
        <v>2.0</v>
      </c>
      <c r="S23" s="18">
        <v>2.0</v>
      </c>
      <c r="T23" s="18">
        <v>2.0</v>
      </c>
      <c r="U23" s="18">
        <v>1.0</v>
      </c>
      <c r="V23" s="18">
        <v>2.0</v>
      </c>
      <c r="W23" s="18">
        <v>2.0</v>
      </c>
      <c r="X23" s="18">
        <v>2.0</v>
      </c>
      <c r="Y23" s="18">
        <v>2.0</v>
      </c>
      <c r="Z23" s="18">
        <v>15.0</v>
      </c>
    </row>
    <row r="24">
      <c r="A24" s="27" t="s">
        <v>61</v>
      </c>
      <c r="B24" s="14">
        <v>1.0</v>
      </c>
      <c r="C24" s="15" t="s">
        <v>15</v>
      </c>
      <c r="D24" s="15" t="s">
        <v>28</v>
      </c>
      <c r="E24" s="15" t="s">
        <v>15</v>
      </c>
      <c r="F24" s="15" t="s">
        <v>15</v>
      </c>
      <c r="G24" s="15" t="s">
        <v>15</v>
      </c>
      <c r="H24" s="15" t="s">
        <v>15</v>
      </c>
      <c r="I24" s="15" t="s">
        <v>15</v>
      </c>
      <c r="J24" s="15" t="s">
        <v>15</v>
      </c>
      <c r="K24" s="16" t="s">
        <v>29</v>
      </c>
      <c r="P24" s="17" t="s">
        <v>62</v>
      </c>
      <c r="Q24" s="14">
        <v>1.0</v>
      </c>
      <c r="R24" s="14">
        <v>2.0</v>
      </c>
      <c r="S24" s="18">
        <v>2.0</v>
      </c>
      <c r="T24" s="18">
        <v>2.0</v>
      </c>
      <c r="U24" s="18">
        <v>2.0</v>
      </c>
      <c r="V24" s="18">
        <v>1.0</v>
      </c>
      <c r="W24" s="18">
        <v>2.0</v>
      </c>
      <c r="X24" s="18">
        <v>2.0</v>
      </c>
      <c r="Y24" s="18">
        <v>2.0</v>
      </c>
      <c r="Z24" s="18">
        <v>15.0</v>
      </c>
    </row>
    <row r="25">
      <c r="A25" s="27" t="s">
        <v>63</v>
      </c>
      <c r="B25" s="14">
        <v>1.0</v>
      </c>
      <c r="C25" s="15" t="s">
        <v>15</v>
      </c>
      <c r="D25" s="15" t="s">
        <v>15</v>
      </c>
      <c r="E25" s="15" t="s">
        <v>15</v>
      </c>
      <c r="F25" s="15" t="s">
        <v>15</v>
      </c>
      <c r="G25" s="15" t="s">
        <v>15</v>
      </c>
      <c r="H25" s="15" t="s">
        <v>28</v>
      </c>
      <c r="I25" s="15" t="s">
        <v>15</v>
      </c>
      <c r="J25" s="15" t="s">
        <v>15</v>
      </c>
      <c r="K25" s="15" t="s">
        <v>29</v>
      </c>
      <c r="P25" s="12"/>
      <c r="Q25" s="24"/>
      <c r="R25" s="24"/>
      <c r="S25" s="24"/>
    </row>
    <row r="26">
      <c r="A26" s="27" t="s">
        <v>64</v>
      </c>
      <c r="B26" s="14">
        <v>1.0</v>
      </c>
      <c r="C26" s="15" t="s">
        <v>15</v>
      </c>
      <c r="D26" s="15" t="s">
        <v>15</v>
      </c>
      <c r="E26" s="15" t="s">
        <v>15</v>
      </c>
      <c r="F26" s="15" t="s">
        <v>15</v>
      </c>
      <c r="G26" s="15" t="s">
        <v>15</v>
      </c>
      <c r="H26" s="15" t="s">
        <v>15</v>
      </c>
      <c r="I26" s="15" t="s">
        <v>15</v>
      </c>
      <c r="J26" s="15" t="s">
        <v>15</v>
      </c>
      <c r="K26" s="15" t="s">
        <v>25</v>
      </c>
      <c r="P26" s="28" t="s">
        <v>65</v>
      </c>
      <c r="Q26" s="5"/>
      <c r="R26" s="5"/>
      <c r="S26" s="5"/>
      <c r="T26" s="5"/>
      <c r="U26" s="5"/>
      <c r="V26" s="5"/>
      <c r="W26" s="5"/>
      <c r="X26" s="5"/>
      <c r="Y26" s="5"/>
      <c r="Z26" s="6"/>
      <c r="AA26" s="29"/>
      <c r="AB26" s="29"/>
    </row>
    <row r="27">
      <c r="A27" s="27" t="s">
        <v>66</v>
      </c>
      <c r="B27" s="14">
        <v>1.0</v>
      </c>
      <c r="C27" s="15" t="s">
        <v>15</v>
      </c>
      <c r="D27" s="15" t="s">
        <v>15</v>
      </c>
      <c r="E27" s="15" t="s">
        <v>15</v>
      </c>
      <c r="F27" s="15" t="s">
        <v>15</v>
      </c>
      <c r="G27" s="15" t="s">
        <v>15</v>
      </c>
      <c r="H27" s="15" t="s">
        <v>15</v>
      </c>
      <c r="I27" s="15" t="s">
        <v>15</v>
      </c>
      <c r="J27" s="15" t="s">
        <v>15</v>
      </c>
      <c r="K27" s="15" t="s">
        <v>25</v>
      </c>
      <c r="P27" s="30"/>
      <c r="Q27" s="9" t="s">
        <v>3</v>
      </c>
      <c r="R27" s="9" t="s">
        <v>4</v>
      </c>
      <c r="S27" s="9" t="s">
        <v>5</v>
      </c>
      <c r="T27" s="9" t="s">
        <v>6</v>
      </c>
      <c r="U27" s="9" t="s">
        <v>7</v>
      </c>
      <c r="V27" s="9" t="s">
        <v>8</v>
      </c>
      <c r="W27" s="9" t="s">
        <v>9</v>
      </c>
      <c r="X27" s="9" t="s">
        <v>10</v>
      </c>
      <c r="Y27" s="9" t="s">
        <v>11</v>
      </c>
      <c r="Z27" s="9" t="s">
        <v>13</v>
      </c>
      <c r="AA27" s="31"/>
      <c r="AB27" s="31"/>
    </row>
    <row r="28">
      <c r="A28" s="27" t="s">
        <v>67</v>
      </c>
      <c r="B28" s="14">
        <v>1.0</v>
      </c>
      <c r="C28" s="15" t="s">
        <v>15</v>
      </c>
      <c r="D28" s="15" t="s">
        <v>15</v>
      </c>
      <c r="E28" s="15" t="s">
        <v>15</v>
      </c>
      <c r="F28" s="15" t="s">
        <v>15</v>
      </c>
      <c r="G28" s="15" t="s">
        <v>15</v>
      </c>
      <c r="H28" s="15" t="s">
        <v>15</v>
      </c>
      <c r="I28" s="15" t="s">
        <v>15</v>
      </c>
      <c r="J28" s="15" t="s">
        <v>15</v>
      </c>
      <c r="K28" s="15" t="s">
        <v>25</v>
      </c>
      <c r="P28" s="32" t="s">
        <v>68</v>
      </c>
      <c r="Q28" s="18">
        <v>1.0</v>
      </c>
      <c r="R28" s="33">
        <v>1.0</v>
      </c>
      <c r="S28" s="33">
        <v>1.0</v>
      </c>
      <c r="T28" s="33">
        <v>1.0</v>
      </c>
      <c r="U28" s="33">
        <v>1.0</v>
      </c>
      <c r="V28" s="33">
        <v>1.0</v>
      </c>
      <c r="W28" s="33">
        <v>1.0</v>
      </c>
      <c r="X28" s="33">
        <v>1.0</v>
      </c>
      <c r="Y28" s="33">
        <v>1.0</v>
      </c>
      <c r="Z28" s="33">
        <v>8.0</v>
      </c>
      <c r="AA28" s="34"/>
      <c r="AB28" s="34"/>
    </row>
    <row r="29">
      <c r="A29" s="27" t="s">
        <v>69</v>
      </c>
      <c r="B29" s="14">
        <v>1.0</v>
      </c>
      <c r="C29" s="15" t="s">
        <v>15</v>
      </c>
      <c r="D29" s="15" t="s">
        <v>15</v>
      </c>
      <c r="E29" s="15" t="s">
        <v>15</v>
      </c>
      <c r="F29" s="15" t="s">
        <v>15</v>
      </c>
      <c r="G29" s="15" t="s">
        <v>28</v>
      </c>
      <c r="H29" s="15" t="s">
        <v>15</v>
      </c>
      <c r="I29" s="15" t="s">
        <v>15</v>
      </c>
      <c r="J29" s="15" t="s">
        <v>15</v>
      </c>
      <c r="K29" s="15" t="s">
        <v>29</v>
      </c>
      <c r="P29" s="32" t="s">
        <v>70</v>
      </c>
      <c r="Q29" s="18">
        <v>5.0</v>
      </c>
      <c r="R29" s="33">
        <v>5.0</v>
      </c>
      <c r="S29" s="33">
        <v>5.0</v>
      </c>
      <c r="T29" s="33">
        <v>5.0</v>
      </c>
      <c r="U29" s="33">
        <v>5.0</v>
      </c>
      <c r="V29" s="33">
        <v>5.0</v>
      </c>
      <c r="W29" s="33">
        <v>5.0</v>
      </c>
      <c r="X29" s="33">
        <v>5.0</v>
      </c>
      <c r="Y29" s="33">
        <v>5.0</v>
      </c>
      <c r="Z29" s="33">
        <v>40.0</v>
      </c>
      <c r="AA29" s="34"/>
      <c r="AB29" s="34"/>
    </row>
    <row r="30">
      <c r="A30" s="27" t="s">
        <v>71</v>
      </c>
      <c r="B30" s="14">
        <v>1.0</v>
      </c>
      <c r="C30" s="15" t="s">
        <v>15</v>
      </c>
      <c r="D30" s="15" t="s">
        <v>15</v>
      </c>
      <c r="E30" s="15" t="s">
        <v>15</v>
      </c>
      <c r="F30" s="15" t="s">
        <v>15</v>
      </c>
      <c r="G30" s="15" t="s">
        <v>15</v>
      </c>
      <c r="H30" s="15" t="s">
        <v>15</v>
      </c>
      <c r="I30" s="15" t="s">
        <v>15</v>
      </c>
      <c r="J30" s="15" t="s">
        <v>15</v>
      </c>
      <c r="K30" s="15" t="s">
        <v>25</v>
      </c>
      <c r="P30" s="32" t="s">
        <v>72</v>
      </c>
      <c r="Q30" s="18">
        <v>5.0</v>
      </c>
      <c r="R30" s="33">
        <v>5.0</v>
      </c>
      <c r="S30" s="33">
        <v>5.0</v>
      </c>
      <c r="T30" s="33">
        <v>5.0</v>
      </c>
      <c r="U30" s="33">
        <v>5.0</v>
      </c>
      <c r="V30" s="33">
        <v>5.0</v>
      </c>
      <c r="W30" s="33">
        <v>5.0</v>
      </c>
      <c r="X30" s="33">
        <v>5.0</v>
      </c>
      <c r="Y30" s="33">
        <v>5.0</v>
      </c>
      <c r="Z30" s="33">
        <v>40.0</v>
      </c>
      <c r="AA30" s="34"/>
      <c r="AB30" s="34"/>
    </row>
    <row r="31">
      <c r="A31" s="27" t="s">
        <v>73</v>
      </c>
      <c r="B31" s="14">
        <v>1.0</v>
      </c>
      <c r="C31" s="15" t="s">
        <v>15</v>
      </c>
      <c r="D31" s="15" t="s">
        <v>15</v>
      </c>
      <c r="E31" s="15" t="s">
        <v>15</v>
      </c>
      <c r="F31" s="15" t="s">
        <v>15</v>
      </c>
      <c r="G31" s="15" t="s">
        <v>15</v>
      </c>
      <c r="H31" s="15" t="s">
        <v>15</v>
      </c>
      <c r="I31" s="15" t="s">
        <v>15</v>
      </c>
      <c r="J31" s="15" t="s">
        <v>15</v>
      </c>
      <c r="K31" s="15" t="s">
        <v>25</v>
      </c>
      <c r="P31" s="32" t="s">
        <v>74</v>
      </c>
      <c r="Q31" s="18">
        <v>1.0</v>
      </c>
      <c r="R31" s="33">
        <v>1.0</v>
      </c>
      <c r="S31" s="33">
        <v>1.0</v>
      </c>
      <c r="T31" s="33">
        <v>1.0</v>
      </c>
      <c r="U31" s="33">
        <v>1.0</v>
      </c>
      <c r="V31" s="33">
        <v>1.0</v>
      </c>
      <c r="W31" s="33">
        <v>1.0</v>
      </c>
      <c r="X31" s="33">
        <v>1.0</v>
      </c>
      <c r="Y31" s="33">
        <v>1.0</v>
      </c>
      <c r="Z31" s="33">
        <v>8.0</v>
      </c>
      <c r="AA31" s="34"/>
      <c r="AB31" s="34"/>
    </row>
    <row r="32">
      <c r="A32" s="27" t="s">
        <v>75</v>
      </c>
      <c r="B32" s="14">
        <v>1.0</v>
      </c>
      <c r="C32" s="15" t="s">
        <v>15</v>
      </c>
      <c r="D32" s="15" t="s">
        <v>28</v>
      </c>
      <c r="E32" s="15" t="s">
        <v>15</v>
      </c>
      <c r="F32" s="15" t="s">
        <v>28</v>
      </c>
      <c r="G32" s="15" t="s">
        <v>28</v>
      </c>
      <c r="H32" s="15" t="s">
        <v>28</v>
      </c>
      <c r="I32" s="15" t="s">
        <v>15</v>
      </c>
      <c r="J32" s="15" t="s">
        <v>15</v>
      </c>
      <c r="K32" s="15" t="s">
        <v>76</v>
      </c>
      <c r="P32" s="32" t="s">
        <v>77</v>
      </c>
      <c r="Q32" s="18">
        <v>1.0</v>
      </c>
      <c r="R32" s="33">
        <v>1.0</v>
      </c>
      <c r="S32" s="33">
        <v>1.0</v>
      </c>
      <c r="T32" s="33">
        <v>1.0</v>
      </c>
      <c r="U32" s="33">
        <v>1.0</v>
      </c>
      <c r="V32" s="33">
        <v>1.0</v>
      </c>
      <c r="W32" s="33">
        <v>1.0</v>
      </c>
      <c r="X32" s="33">
        <v>1.0</v>
      </c>
      <c r="Y32" s="33">
        <v>1.0</v>
      </c>
      <c r="Z32" s="33">
        <v>8.0</v>
      </c>
      <c r="AA32" s="34"/>
      <c r="AB32" s="34"/>
    </row>
    <row r="33">
      <c r="A33" s="27" t="s">
        <v>78</v>
      </c>
      <c r="B33" s="14">
        <v>1.0</v>
      </c>
      <c r="C33" s="15" t="s">
        <v>15</v>
      </c>
      <c r="D33" s="15" t="s">
        <v>15</v>
      </c>
      <c r="E33" s="15" t="s">
        <v>15</v>
      </c>
      <c r="F33" s="15" t="s">
        <v>28</v>
      </c>
      <c r="G33" s="15" t="s">
        <v>28</v>
      </c>
      <c r="H33" s="15" t="s">
        <v>15</v>
      </c>
      <c r="I33" s="15" t="s">
        <v>15</v>
      </c>
      <c r="J33" s="15" t="s">
        <v>15</v>
      </c>
      <c r="K33" s="15" t="s">
        <v>79</v>
      </c>
      <c r="P33" s="32" t="s">
        <v>80</v>
      </c>
      <c r="Q33" s="18">
        <v>1.0</v>
      </c>
      <c r="R33" s="33">
        <v>1.0</v>
      </c>
      <c r="S33" s="33">
        <v>1.0</v>
      </c>
      <c r="T33" s="33">
        <v>1.0</v>
      </c>
      <c r="U33" s="33">
        <v>1.0</v>
      </c>
      <c r="V33" s="33">
        <v>1.0</v>
      </c>
      <c r="W33" s="33">
        <v>1.0</v>
      </c>
      <c r="X33" s="33">
        <v>1.0</v>
      </c>
      <c r="Y33" s="33">
        <v>1.0</v>
      </c>
      <c r="Z33" s="33">
        <v>8.0</v>
      </c>
      <c r="AA33" s="34"/>
      <c r="AB33" s="34"/>
    </row>
    <row r="34">
      <c r="A34" s="27" t="s">
        <v>81</v>
      </c>
      <c r="B34" s="14">
        <v>1.0</v>
      </c>
      <c r="C34" s="15" t="s">
        <v>15</v>
      </c>
      <c r="D34" s="15" t="s">
        <v>15</v>
      </c>
      <c r="E34" s="15" t="s">
        <v>15</v>
      </c>
      <c r="F34" s="15" t="s">
        <v>15</v>
      </c>
      <c r="G34" s="15" t="s">
        <v>15</v>
      </c>
      <c r="H34" s="15" t="s">
        <v>15</v>
      </c>
      <c r="I34" s="15" t="s">
        <v>15</v>
      </c>
      <c r="J34" s="15" t="s">
        <v>15</v>
      </c>
      <c r="K34" s="15" t="s">
        <v>25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A35" s="27" t="s">
        <v>82</v>
      </c>
      <c r="B35" s="14">
        <v>1.0</v>
      </c>
      <c r="C35" s="15" t="s">
        <v>15</v>
      </c>
      <c r="D35" s="15" t="s">
        <v>15</v>
      </c>
      <c r="E35" s="15" t="s">
        <v>15</v>
      </c>
      <c r="F35" s="15" t="s">
        <v>15</v>
      </c>
      <c r="G35" s="15" t="s">
        <v>15</v>
      </c>
      <c r="H35" s="15" t="s">
        <v>15</v>
      </c>
      <c r="I35" s="15" t="s">
        <v>15</v>
      </c>
      <c r="J35" s="15" t="s">
        <v>15</v>
      </c>
      <c r="K35" s="15" t="s">
        <v>25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27" t="s">
        <v>83</v>
      </c>
      <c r="B36" s="14">
        <v>1.0</v>
      </c>
      <c r="C36" s="15" t="s">
        <v>15</v>
      </c>
      <c r="D36" s="15" t="s">
        <v>15</v>
      </c>
      <c r="E36" s="15" t="s">
        <v>15</v>
      </c>
      <c r="F36" s="15" t="s">
        <v>15</v>
      </c>
      <c r="G36" s="15" t="s">
        <v>15</v>
      </c>
      <c r="H36" s="15" t="s">
        <v>15</v>
      </c>
      <c r="I36" s="15" t="s">
        <v>15</v>
      </c>
      <c r="J36" s="15" t="s">
        <v>15</v>
      </c>
      <c r="K36" s="15" t="s">
        <v>25</v>
      </c>
      <c r="P36" s="36" t="s">
        <v>84</v>
      </c>
      <c r="Q36" s="5"/>
      <c r="R36" s="5"/>
      <c r="S36" s="6"/>
      <c r="W36" s="36" t="s">
        <v>85</v>
      </c>
      <c r="X36" s="5"/>
      <c r="Y36" s="6"/>
      <c r="AA36" s="35"/>
    </row>
    <row r="37">
      <c r="A37" s="27" t="s">
        <v>86</v>
      </c>
      <c r="B37" s="14">
        <v>1.0</v>
      </c>
      <c r="C37" s="15" t="s">
        <v>15</v>
      </c>
      <c r="D37" s="15" t="s">
        <v>15</v>
      </c>
      <c r="E37" s="15" t="s">
        <v>15</v>
      </c>
      <c r="F37" s="15" t="s">
        <v>15</v>
      </c>
      <c r="G37" s="15" t="s">
        <v>15</v>
      </c>
      <c r="H37" s="15" t="s">
        <v>15</v>
      </c>
      <c r="I37" s="15" t="s">
        <v>15</v>
      </c>
      <c r="J37" s="15" t="s">
        <v>15</v>
      </c>
      <c r="K37" s="15" t="s">
        <v>25</v>
      </c>
      <c r="P37" s="26" t="s">
        <v>87</v>
      </c>
      <c r="Q37" s="26" t="s">
        <v>88</v>
      </c>
      <c r="R37" s="26" t="s">
        <v>89</v>
      </c>
      <c r="S37" s="26" t="s">
        <v>90</v>
      </c>
      <c r="W37" s="26" t="s">
        <v>91</v>
      </c>
      <c r="X37" s="26" t="s">
        <v>89</v>
      </c>
      <c r="Y37" s="26" t="s">
        <v>92</v>
      </c>
      <c r="AA37" s="35"/>
    </row>
    <row r="38">
      <c r="A38" s="27" t="s">
        <v>93</v>
      </c>
      <c r="B38" s="14">
        <v>1.0</v>
      </c>
      <c r="C38" s="15" t="s">
        <v>15</v>
      </c>
      <c r="D38" s="15" t="s">
        <v>15</v>
      </c>
      <c r="E38" s="15" t="s">
        <v>15</v>
      </c>
      <c r="F38" s="15" t="s">
        <v>15</v>
      </c>
      <c r="G38" s="15" t="s">
        <v>15</v>
      </c>
      <c r="H38" s="15" t="s">
        <v>15</v>
      </c>
      <c r="I38" s="15" t="s">
        <v>15</v>
      </c>
      <c r="J38" s="15" t="s">
        <v>15</v>
      </c>
      <c r="K38" s="15" t="s">
        <v>25</v>
      </c>
      <c r="P38" s="17" t="s">
        <v>94</v>
      </c>
      <c r="Q38" s="18">
        <v>557297.0</v>
      </c>
      <c r="R38" s="37" t="s">
        <v>95</v>
      </c>
      <c r="S38" s="37" t="s">
        <v>96</v>
      </c>
      <c r="W38" s="17" t="s">
        <v>97</v>
      </c>
      <c r="X38" s="14" t="s">
        <v>98</v>
      </c>
      <c r="Y38" s="38">
        <v>46235.0</v>
      </c>
      <c r="AA38" s="35"/>
    </row>
    <row r="39">
      <c r="A39" s="27" t="s">
        <v>99</v>
      </c>
      <c r="B39" s="14">
        <v>1.0</v>
      </c>
      <c r="C39" s="15" t="s">
        <v>15</v>
      </c>
      <c r="D39" s="15" t="s">
        <v>15</v>
      </c>
      <c r="E39" s="15" t="s">
        <v>15</v>
      </c>
      <c r="F39" s="15" t="s">
        <v>15</v>
      </c>
      <c r="G39" s="15" t="s">
        <v>15</v>
      </c>
      <c r="H39" s="15" t="s">
        <v>15</v>
      </c>
      <c r="I39" s="15" t="s">
        <v>15</v>
      </c>
      <c r="J39" s="15" t="s">
        <v>15</v>
      </c>
      <c r="K39" s="15" t="s">
        <v>25</v>
      </c>
      <c r="P39" s="17" t="s">
        <v>94</v>
      </c>
      <c r="Q39" s="18">
        <v>557150.0</v>
      </c>
      <c r="R39" s="37" t="s">
        <v>95</v>
      </c>
      <c r="S39" s="37" t="s">
        <v>96</v>
      </c>
      <c r="W39" s="17" t="s">
        <v>100</v>
      </c>
      <c r="X39" s="14" t="s">
        <v>98</v>
      </c>
      <c r="Y39" s="38">
        <v>46235.0</v>
      </c>
      <c r="AA39" s="35"/>
    </row>
    <row r="40">
      <c r="A40" s="27" t="s">
        <v>101</v>
      </c>
      <c r="B40" s="14">
        <v>1.0</v>
      </c>
      <c r="C40" s="15" t="s">
        <v>15</v>
      </c>
      <c r="D40" s="15" t="s">
        <v>15</v>
      </c>
      <c r="E40" s="15" t="s">
        <v>15</v>
      </c>
      <c r="F40" s="15" t="s">
        <v>15</v>
      </c>
      <c r="G40" s="15" t="s">
        <v>15</v>
      </c>
      <c r="H40" s="15" t="s">
        <v>15</v>
      </c>
      <c r="I40" s="15" t="s">
        <v>15</v>
      </c>
      <c r="J40" s="15" t="s">
        <v>15</v>
      </c>
      <c r="K40" s="15" t="s">
        <v>25</v>
      </c>
      <c r="P40" s="17" t="s">
        <v>94</v>
      </c>
      <c r="Q40" s="18">
        <v>556873.0</v>
      </c>
      <c r="R40" s="37" t="s">
        <v>102</v>
      </c>
      <c r="S40" s="37" t="s">
        <v>96</v>
      </c>
      <c r="AA40" s="35"/>
    </row>
    <row r="41">
      <c r="A41" s="27" t="s">
        <v>103</v>
      </c>
      <c r="B41" s="14">
        <v>1.0</v>
      </c>
      <c r="C41" s="15" t="s">
        <v>15</v>
      </c>
      <c r="D41" s="15" t="s">
        <v>15</v>
      </c>
      <c r="E41" s="15" t="s">
        <v>15</v>
      </c>
      <c r="F41" s="15" t="s">
        <v>15</v>
      </c>
      <c r="G41" s="15" t="s">
        <v>15</v>
      </c>
      <c r="H41" s="15" t="s">
        <v>15</v>
      </c>
      <c r="I41" s="15" t="s">
        <v>15</v>
      </c>
      <c r="J41" s="15" t="s">
        <v>15</v>
      </c>
      <c r="K41" s="15" t="s">
        <v>25</v>
      </c>
      <c r="P41" s="17" t="s">
        <v>104</v>
      </c>
      <c r="Q41" s="18">
        <v>800799.0</v>
      </c>
      <c r="R41" s="37" t="s">
        <v>95</v>
      </c>
      <c r="S41" s="37" t="s">
        <v>96</v>
      </c>
      <c r="AA41" s="35"/>
    </row>
    <row r="42">
      <c r="A42" s="27" t="s">
        <v>105</v>
      </c>
      <c r="B42" s="14">
        <v>1.0</v>
      </c>
      <c r="C42" s="15" t="s">
        <v>15</v>
      </c>
      <c r="D42" s="15" t="s">
        <v>15</v>
      </c>
      <c r="E42" s="15" t="s">
        <v>15</v>
      </c>
      <c r="F42" s="15" t="s">
        <v>15</v>
      </c>
      <c r="G42" s="15" t="s">
        <v>15</v>
      </c>
      <c r="H42" s="15" t="s">
        <v>15</v>
      </c>
      <c r="I42" s="15" t="s">
        <v>15</v>
      </c>
      <c r="J42" s="15" t="s">
        <v>15</v>
      </c>
      <c r="K42" s="15" t="s">
        <v>25</v>
      </c>
      <c r="P42" s="17"/>
      <c r="Q42" s="11"/>
      <c r="R42" s="11"/>
      <c r="S42" s="11"/>
    </row>
    <row r="43">
      <c r="A43" s="27" t="s">
        <v>106</v>
      </c>
      <c r="B43" s="14">
        <v>1.0</v>
      </c>
      <c r="C43" s="15" t="s">
        <v>17</v>
      </c>
      <c r="D43" s="15" t="s">
        <v>17</v>
      </c>
      <c r="E43" s="15" t="s">
        <v>28</v>
      </c>
      <c r="F43" s="15" t="s">
        <v>28</v>
      </c>
      <c r="G43" s="15" t="s">
        <v>15</v>
      </c>
      <c r="H43" s="15" t="s">
        <v>17</v>
      </c>
      <c r="I43" s="15" t="s">
        <v>28</v>
      </c>
      <c r="J43" s="15" t="s">
        <v>17</v>
      </c>
      <c r="K43" s="15" t="s">
        <v>107</v>
      </c>
      <c r="P43" s="17"/>
      <c r="Q43" s="11"/>
      <c r="R43" s="11"/>
      <c r="S43" s="11"/>
    </row>
    <row r="44">
      <c r="A44" s="27" t="s">
        <v>108</v>
      </c>
      <c r="B44" s="14">
        <v>1.0</v>
      </c>
      <c r="C44" s="15" t="s">
        <v>15</v>
      </c>
      <c r="D44" s="15" t="s">
        <v>15</v>
      </c>
      <c r="E44" s="15" t="s">
        <v>15</v>
      </c>
      <c r="F44" s="15" t="s">
        <v>15</v>
      </c>
      <c r="G44" s="15" t="s">
        <v>15</v>
      </c>
      <c r="H44" s="15" t="s">
        <v>28</v>
      </c>
      <c r="I44" s="15" t="s">
        <v>15</v>
      </c>
      <c r="J44" s="15" t="s">
        <v>17</v>
      </c>
      <c r="K44" s="15" t="s">
        <v>109</v>
      </c>
      <c r="P44" s="19"/>
      <c r="Q44" s="11"/>
      <c r="R44" s="11"/>
      <c r="S44" s="11"/>
    </row>
    <row r="45">
      <c r="A45" s="27" t="s">
        <v>110</v>
      </c>
      <c r="B45" s="14">
        <v>1.0</v>
      </c>
      <c r="C45" s="15" t="s">
        <v>15</v>
      </c>
      <c r="D45" s="15" t="s">
        <v>15</v>
      </c>
      <c r="E45" s="15" t="s">
        <v>15</v>
      </c>
      <c r="F45" s="15" t="s">
        <v>15</v>
      </c>
      <c r="G45" s="15" t="s">
        <v>28</v>
      </c>
      <c r="H45" s="15" t="s">
        <v>15</v>
      </c>
      <c r="I45" s="15" t="s">
        <v>15</v>
      </c>
      <c r="J45" s="15" t="s">
        <v>15</v>
      </c>
      <c r="K45" s="15" t="s">
        <v>29</v>
      </c>
    </row>
    <row r="46">
      <c r="A46" s="27" t="s">
        <v>111</v>
      </c>
      <c r="B46" s="14">
        <v>1.0</v>
      </c>
      <c r="C46" s="15" t="s">
        <v>15</v>
      </c>
      <c r="D46" s="15" t="s">
        <v>15</v>
      </c>
      <c r="E46" s="15" t="s">
        <v>15</v>
      </c>
      <c r="F46" s="15" t="s">
        <v>15</v>
      </c>
      <c r="G46" s="15" t="s">
        <v>15</v>
      </c>
      <c r="H46" s="15" t="s">
        <v>15</v>
      </c>
      <c r="I46" s="15" t="s">
        <v>15</v>
      </c>
      <c r="J46" s="15" t="s">
        <v>15</v>
      </c>
      <c r="K46" s="15" t="s">
        <v>25</v>
      </c>
    </row>
    <row r="47">
      <c r="A47" s="27" t="s">
        <v>112</v>
      </c>
      <c r="B47" s="14">
        <v>1.0</v>
      </c>
      <c r="C47" s="15" t="s">
        <v>15</v>
      </c>
      <c r="D47" s="15" t="s">
        <v>15</v>
      </c>
      <c r="E47" s="15" t="s">
        <v>15</v>
      </c>
      <c r="F47" s="15" t="s">
        <v>15</v>
      </c>
      <c r="G47" s="15" t="s">
        <v>15</v>
      </c>
      <c r="H47" s="15" t="s">
        <v>15</v>
      </c>
      <c r="I47" s="15" t="s">
        <v>15</v>
      </c>
      <c r="J47" s="15" t="s">
        <v>15</v>
      </c>
      <c r="K47" s="15" t="s">
        <v>25</v>
      </c>
    </row>
    <row r="48">
      <c r="A48" s="27" t="s">
        <v>113</v>
      </c>
      <c r="B48" s="14">
        <v>1.0</v>
      </c>
      <c r="C48" s="15" t="s">
        <v>17</v>
      </c>
      <c r="D48" s="15" t="s">
        <v>15</v>
      </c>
      <c r="E48" s="15" t="s">
        <v>15</v>
      </c>
      <c r="F48" s="15" t="s">
        <v>15</v>
      </c>
      <c r="G48" s="15" t="s">
        <v>15</v>
      </c>
      <c r="H48" s="15" t="s">
        <v>15</v>
      </c>
      <c r="I48" s="15" t="s">
        <v>15</v>
      </c>
      <c r="J48" s="15" t="s">
        <v>15</v>
      </c>
      <c r="K48" s="15" t="s">
        <v>114</v>
      </c>
    </row>
    <row r="49">
      <c r="A49" s="27" t="s">
        <v>115</v>
      </c>
      <c r="B49" s="14">
        <v>1.0</v>
      </c>
      <c r="C49" s="15" t="s">
        <v>15</v>
      </c>
      <c r="D49" s="15" t="s">
        <v>15</v>
      </c>
      <c r="E49" s="15" t="s">
        <v>15</v>
      </c>
      <c r="F49" s="15" t="s">
        <v>15</v>
      </c>
      <c r="G49" s="15" t="s">
        <v>15</v>
      </c>
      <c r="H49" s="15" t="s">
        <v>15</v>
      </c>
      <c r="I49" s="15" t="s">
        <v>17</v>
      </c>
      <c r="J49" s="15" t="s">
        <v>15</v>
      </c>
      <c r="K49" s="15" t="s">
        <v>114</v>
      </c>
    </row>
    <row r="50">
      <c r="A50" s="27" t="s">
        <v>116</v>
      </c>
      <c r="B50" s="14">
        <v>1.0</v>
      </c>
      <c r="C50" s="15" t="s">
        <v>15</v>
      </c>
      <c r="D50" s="15" t="s">
        <v>15</v>
      </c>
      <c r="E50" s="15" t="s">
        <v>15</v>
      </c>
      <c r="F50" s="15" t="s">
        <v>15</v>
      </c>
      <c r="G50" s="15" t="s">
        <v>15</v>
      </c>
      <c r="H50" s="15" t="s">
        <v>15</v>
      </c>
      <c r="I50" s="15" t="s">
        <v>15</v>
      </c>
      <c r="J50" s="15" t="s">
        <v>15</v>
      </c>
      <c r="K50" s="15" t="s">
        <v>25</v>
      </c>
    </row>
    <row r="51">
      <c r="A51" s="27" t="s">
        <v>117</v>
      </c>
      <c r="B51" s="14">
        <v>1.0</v>
      </c>
      <c r="C51" s="15" t="s">
        <v>15</v>
      </c>
      <c r="D51" s="15" t="s">
        <v>15</v>
      </c>
      <c r="E51" s="15" t="s">
        <v>15</v>
      </c>
      <c r="F51" s="15" t="s">
        <v>28</v>
      </c>
      <c r="G51" s="15" t="s">
        <v>28</v>
      </c>
      <c r="H51" s="15" t="s">
        <v>17</v>
      </c>
      <c r="I51" s="15" t="s">
        <v>15</v>
      </c>
      <c r="J51" s="15" t="s">
        <v>15</v>
      </c>
      <c r="K51" s="15" t="s">
        <v>79</v>
      </c>
    </row>
    <row r="52">
      <c r="A52" s="27" t="s">
        <v>118</v>
      </c>
      <c r="B52" s="14">
        <v>1.0</v>
      </c>
      <c r="C52" s="15" t="s">
        <v>15</v>
      </c>
      <c r="D52" s="15" t="s">
        <v>15</v>
      </c>
      <c r="E52" s="15" t="s">
        <v>15</v>
      </c>
      <c r="F52" s="15" t="s">
        <v>15</v>
      </c>
      <c r="G52" s="15" t="s">
        <v>15</v>
      </c>
      <c r="H52" s="15" t="s">
        <v>15</v>
      </c>
      <c r="I52" s="15" t="s">
        <v>15</v>
      </c>
      <c r="J52" s="15" t="s">
        <v>15</v>
      </c>
      <c r="K52" s="15" t="s">
        <v>25</v>
      </c>
    </row>
    <row r="53">
      <c r="A53" s="27" t="s">
        <v>119</v>
      </c>
      <c r="B53" s="14">
        <v>1.0</v>
      </c>
      <c r="C53" s="15" t="s">
        <v>15</v>
      </c>
      <c r="D53" s="15" t="s">
        <v>15</v>
      </c>
      <c r="E53" s="15" t="s">
        <v>15</v>
      </c>
      <c r="F53" s="15" t="s">
        <v>15</v>
      </c>
      <c r="G53" s="15" t="s">
        <v>15</v>
      </c>
      <c r="H53" s="15" t="s">
        <v>15</v>
      </c>
      <c r="I53" s="15" t="s">
        <v>15</v>
      </c>
      <c r="J53" s="15" t="s">
        <v>15</v>
      </c>
      <c r="K53" s="15" t="s">
        <v>25</v>
      </c>
    </row>
    <row r="54">
      <c r="A54" s="27" t="s">
        <v>120</v>
      </c>
      <c r="B54" s="14">
        <v>1.0</v>
      </c>
      <c r="C54" s="15" t="s">
        <v>15</v>
      </c>
      <c r="D54" s="15" t="s">
        <v>15</v>
      </c>
      <c r="E54" s="15" t="s">
        <v>15</v>
      </c>
      <c r="F54" s="15" t="s">
        <v>28</v>
      </c>
      <c r="G54" s="15" t="s">
        <v>15</v>
      </c>
      <c r="H54" s="15" t="s">
        <v>15</v>
      </c>
      <c r="I54" s="15" t="s">
        <v>15</v>
      </c>
      <c r="J54" s="15" t="s">
        <v>28</v>
      </c>
      <c r="K54" s="15" t="s">
        <v>79</v>
      </c>
    </row>
    <row r="55">
      <c r="A55" s="27" t="s">
        <v>121</v>
      </c>
      <c r="B55" s="14">
        <v>1.0</v>
      </c>
      <c r="C55" s="15" t="s">
        <v>15</v>
      </c>
      <c r="D55" s="15" t="s">
        <v>15</v>
      </c>
      <c r="E55" s="15" t="s">
        <v>15</v>
      </c>
      <c r="F55" s="15" t="s">
        <v>15</v>
      </c>
      <c r="G55" s="15" t="s">
        <v>15</v>
      </c>
      <c r="H55" s="15" t="s">
        <v>15</v>
      </c>
      <c r="I55" s="15" t="s">
        <v>28</v>
      </c>
      <c r="J55" s="15" t="s">
        <v>15</v>
      </c>
      <c r="K55" s="15" t="s">
        <v>29</v>
      </c>
    </row>
    <row r="56">
      <c r="A56" s="27" t="s">
        <v>122</v>
      </c>
      <c r="B56" s="14">
        <v>1.0</v>
      </c>
      <c r="C56" s="15" t="s">
        <v>15</v>
      </c>
      <c r="D56" s="15" t="s">
        <v>15</v>
      </c>
      <c r="E56" s="15" t="s">
        <v>15</v>
      </c>
      <c r="F56" s="15" t="s">
        <v>15</v>
      </c>
      <c r="G56" s="15" t="s">
        <v>15</v>
      </c>
      <c r="H56" s="15" t="s">
        <v>15</v>
      </c>
      <c r="I56" s="15" t="s">
        <v>15</v>
      </c>
      <c r="J56" s="15" t="s">
        <v>15</v>
      </c>
      <c r="K56" s="15" t="s">
        <v>25</v>
      </c>
    </row>
    <row r="57">
      <c r="A57" s="27" t="s">
        <v>123</v>
      </c>
      <c r="B57" s="14">
        <v>1.0</v>
      </c>
      <c r="C57" s="15" t="s">
        <v>15</v>
      </c>
      <c r="D57" s="15" t="s">
        <v>15</v>
      </c>
      <c r="E57" s="15" t="s">
        <v>15</v>
      </c>
      <c r="F57" s="15" t="s">
        <v>15</v>
      </c>
      <c r="G57" s="15" t="s">
        <v>15</v>
      </c>
      <c r="H57" s="15" t="s">
        <v>15</v>
      </c>
      <c r="I57" s="15" t="s">
        <v>15</v>
      </c>
      <c r="J57" s="15" t="s">
        <v>15</v>
      </c>
      <c r="K57" s="15" t="s">
        <v>25</v>
      </c>
    </row>
    <row r="58">
      <c r="A58" s="27" t="s">
        <v>124</v>
      </c>
      <c r="B58" s="14">
        <v>1.0</v>
      </c>
      <c r="C58" s="15" t="s">
        <v>15</v>
      </c>
      <c r="D58" s="15" t="s">
        <v>15</v>
      </c>
      <c r="E58" s="15" t="s">
        <v>28</v>
      </c>
      <c r="F58" s="15" t="s">
        <v>15</v>
      </c>
      <c r="G58" s="15" t="s">
        <v>28</v>
      </c>
      <c r="H58" s="15" t="s">
        <v>28</v>
      </c>
      <c r="I58" s="15" t="s">
        <v>28</v>
      </c>
      <c r="J58" s="15" t="s">
        <v>28</v>
      </c>
      <c r="K58" s="15" t="s">
        <v>125</v>
      </c>
    </row>
    <row r="59">
      <c r="A59" s="27" t="s">
        <v>126</v>
      </c>
      <c r="B59" s="14">
        <v>1.0</v>
      </c>
      <c r="C59" s="15" t="s">
        <v>28</v>
      </c>
      <c r="D59" s="15" t="s">
        <v>28</v>
      </c>
      <c r="E59" s="15" t="s">
        <v>28</v>
      </c>
      <c r="F59" s="15" t="s">
        <v>15</v>
      </c>
      <c r="G59" s="15" t="s">
        <v>28</v>
      </c>
      <c r="H59" s="15" t="s">
        <v>15</v>
      </c>
      <c r="I59" s="15" t="s">
        <v>28</v>
      </c>
      <c r="J59" s="15" t="s">
        <v>28</v>
      </c>
      <c r="K59" s="15" t="s">
        <v>127</v>
      </c>
    </row>
    <row r="60">
      <c r="A60" s="39" t="s">
        <v>128</v>
      </c>
      <c r="B60" s="14">
        <v>1.0</v>
      </c>
      <c r="C60" s="15" t="s">
        <v>15</v>
      </c>
      <c r="D60" s="15" t="s">
        <v>15</v>
      </c>
      <c r="E60" s="15" t="s">
        <v>15</v>
      </c>
      <c r="F60" s="15" t="s">
        <v>15</v>
      </c>
      <c r="G60" s="15" t="s">
        <v>15</v>
      </c>
      <c r="H60" s="15" t="s">
        <v>15</v>
      </c>
      <c r="I60" s="15" t="s">
        <v>15</v>
      </c>
      <c r="J60" s="15" t="s">
        <v>15</v>
      </c>
      <c r="K60" s="15" t="s">
        <v>129</v>
      </c>
    </row>
    <row r="61">
      <c r="A61" s="27" t="s">
        <v>130</v>
      </c>
      <c r="B61" s="14">
        <v>1.0</v>
      </c>
      <c r="C61" s="15" t="s">
        <v>15</v>
      </c>
      <c r="D61" s="15" t="s">
        <v>15</v>
      </c>
      <c r="E61" s="15" t="s">
        <v>15</v>
      </c>
      <c r="F61" s="15" t="s">
        <v>15</v>
      </c>
      <c r="G61" s="15" t="s">
        <v>15</v>
      </c>
      <c r="H61" s="15" t="s">
        <v>15</v>
      </c>
      <c r="I61" s="15" t="s">
        <v>15</v>
      </c>
      <c r="J61" s="15" t="s">
        <v>15</v>
      </c>
      <c r="K61" s="15" t="s">
        <v>129</v>
      </c>
    </row>
    <row r="62">
      <c r="A62" s="27" t="s">
        <v>131</v>
      </c>
      <c r="B62" s="14">
        <v>1.0</v>
      </c>
      <c r="C62" s="15" t="s">
        <v>15</v>
      </c>
      <c r="D62" s="15" t="s">
        <v>15</v>
      </c>
      <c r="E62" s="15" t="s">
        <v>15</v>
      </c>
      <c r="F62" s="15" t="s">
        <v>28</v>
      </c>
      <c r="G62" s="15" t="s">
        <v>15</v>
      </c>
      <c r="H62" s="15" t="s">
        <v>15</v>
      </c>
      <c r="I62" s="15" t="s">
        <v>15</v>
      </c>
      <c r="J62" s="15" t="s">
        <v>15</v>
      </c>
      <c r="K62" s="15" t="s">
        <v>132</v>
      </c>
    </row>
    <row r="63">
      <c r="A63" s="27" t="s">
        <v>133</v>
      </c>
      <c r="B63" s="14">
        <v>1.0</v>
      </c>
      <c r="C63" s="15" t="s">
        <v>15</v>
      </c>
      <c r="D63" s="15" t="s">
        <v>15</v>
      </c>
      <c r="E63" s="15" t="s">
        <v>15</v>
      </c>
      <c r="F63" s="15" t="s">
        <v>15</v>
      </c>
      <c r="G63" s="15" t="s">
        <v>15</v>
      </c>
      <c r="H63" s="15" t="s">
        <v>15</v>
      </c>
      <c r="I63" s="15" t="s">
        <v>15</v>
      </c>
      <c r="J63" s="15" t="s">
        <v>15</v>
      </c>
      <c r="K63" s="15" t="s">
        <v>25</v>
      </c>
    </row>
    <row r="64">
      <c r="A64" s="27" t="s">
        <v>134</v>
      </c>
      <c r="B64" s="14">
        <v>1.0</v>
      </c>
      <c r="C64" s="15" t="s">
        <v>15</v>
      </c>
      <c r="D64" s="15" t="s">
        <v>15</v>
      </c>
      <c r="E64" s="15" t="s">
        <v>15</v>
      </c>
      <c r="F64" s="15" t="s">
        <v>28</v>
      </c>
      <c r="G64" s="15" t="s">
        <v>28</v>
      </c>
      <c r="H64" s="15" t="s">
        <v>15</v>
      </c>
      <c r="I64" s="15" t="s">
        <v>28</v>
      </c>
      <c r="J64" s="15" t="s">
        <v>15</v>
      </c>
      <c r="K64" s="15" t="s">
        <v>135</v>
      </c>
    </row>
    <row r="65">
      <c r="A65" s="27" t="s">
        <v>136</v>
      </c>
      <c r="B65" s="14">
        <v>1.0</v>
      </c>
      <c r="C65" s="15" t="s">
        <v>15</v>
      </c>
      <c r="D65" s="15" t="s">
        <v>15</v>
      </c>
      <c r="E65" s="15" t="s">
        <v>15</v>
      </c>
      <c r="F65" s="15" t="s">
        <v>15</v>
      </c>
      <c r="G65" s="15" t="s">
        <v>15</v>
      </c>
      <c r="H65" s="15" t="s">
        <v>15</v>
      </c>
      <c r="I65" s="15" t="s">
        <v>15</v>
      </c>
      <c r="J65" s="15" t="s">
        <v>15</v>
      </c>
      <c r="K65" s="15" t="s">
        <v>129</v>
      </c>
    </row>
    <row r="66">
      <c r="A66" s="27" t="s">
        <v>137</v>
      </c>
      <c r="B66" s="14">
        <v>1.0</v>
      </c>
      <c r="C66" s="15" t="s">
        <v>15</v>
      </c>
      <c r="D66" s="15" t="s">
        <v>15</v>
      </c>
      <c r="E66" s="15" t="s">
        <v>15</v>
      </c>
      <c r="F66" s="15" t="s">
        <v>15</v>
      </c>
      <c r="G66" s="15" t="s">
        <v>15</v>
      </c>
      <c r="H66" s="15" t="s">
        <v>28</v>
      </c>
      <c r="I66" s="15" t="s">
        <v>15</v>
      </c>
      <c r="J66" s="15" t="s">
        <v>15</v>
      </c>
      <c r="K66" s="15" t="s">
        <v>132</v>
      </c>
    </row>
    <row r="67">
      <c r="A67" s="27" t="s">
        <v>138</v>
      </c>
      <c r="B67" s="14">
        <v>1.0</v>
      </c>
      <c r="C67" s="15" t="s">
        <v>15</v>
      </c>
      <c r="D67" s="15" t="s">
        <v>15</v>
      </c>
      <c r="E67" s="15" t="s">
        <v>15</v>
      </c>
      <c r="F67" s="15" t="s">
        <v>15</v>
      </c>
      <c r="G67" s="15" t="s">
        <v>15</v>
      </c>
      <c r="H67" s="15" t="s">
        <v>15</v>
      </c>
      <c r="I67" s="15" t="s">
        <v>15</v>
      </c>
      <c r="J67" s="15" t="s">
        <v>17</v>
      </c>
      <c r="K67" s="15" t="s">
        <v>139</v>
      </c>
    </row>
    <row r="68">
      <c r="A68" s="27" t="s">
        <v>140</v>
      </c>
      <c r="B68" s="14">
        <v>1.0</v>
      </c>
      <c r="C68" s="15" t="s">
        <v>15</v>
      </c>
      <c r="D68" s="15" t="s">
        <v>15</v>
      </c>
      <c r="E68" s="15" t="s">
        <v>28</v>
      </c>
      <c r="F68" s="15" t="s">
        <v>15</v>
      </c>
      <c r="G68" s="15" t="s">
        <v>15</v>
      </c>
      <c r="H68" s="15" t="s">
        <v>15</v>
      </c>
      <c r="I68" s="15" t="s">
        <v>15</v>
      </c>
      <c r="J68" s="15" t="s">
        <v>15</v>
      </c>
      <c r="K68" s="15" t="s">
        <v>29</v>
      </c>
    </row>
    <row r="72">
      <c r="B72" s="40" t="s">
        <v>141</v>
      </c>
      <c r="D72" s="41"/>
      <c r="E72" s="40" t="s">
        <v>142</v>
      </c>
      <c r="G72" s="41"/>
      <c r="H72" s="40" t="s">
        <v>143</v>
      </c>
      <c r="K72" s="42" t="s">
        <v>144</v>
      </c>
      <c r="M72" s="41"/>
      <c r="N72" s="40" t="s">
        <v>145</v>
      </c>
      <c r="Q72" s="42" t="s">
        <v>146</v>
      </c>
      <c r="T72" s="42" t="s">
        <v>147</v>
      </c>
      <c r="V72" s="41"/>
      <c r="W72" s="43" t="s">
        <v>148</v>
      </c>
      <c r="X72" s="44"/>
      <c r="Y72" s="45"/>
      <c r="Z72" s="12"/>
      <c r="AC72" s="12"/>
      <c r="AF72" s="12"/>
    </row>
    <row r="73">
      <c r="A73" s="26" t="s">
        <v>87</v>
      </c>
      <c r="B73" s="26" t="s">
        <v>88</v>
      </c>
      <c r="C73" s="26" t="s">
        <v>89</v>
      </c>
      <c r="D73" s="46" t="s">
        <v>90</v>
      </c>
      <c r="E73" s="47" t="s">
        <v>88</v>
      </c>
      <c r="F73" s="26" t="s">
        <v>89</v>
      </c>
      <c r="G73" s="46" t="s">
        <v>90</v>
      </c>
      <c r="H73" s="47" t="s">
        <v>88</v>
      </c>
      <c r="I73" s="26" t="s">
        <v>89</v>
      </c>
      <c r="J73" s="48" t="s">
        <v>90</v>
      </c>
      <c r="K73" s="49" t="s">
        <v>88</v>
      </c>
      <c r="L73" s="26" t="s">
        <v>89</v>
      </c>
      <c r="M73" s="46" t="s">
        <v>90</v>
      </c>
      <c r="N73" s="47" t="s">
        <v>88</v>
      </c>
      <c r="O73" s="26" t="s">
        <v>89</v>
      </c>
      <c r="P73" s="48" t="s">
        <v>90</v>
      </c>
      <c r="Q73" s="49" t="s">
        <v>88</v>
      </c>
      <c r="R73" s="26" t="s">
        <v>89</v>
      </c>
      <c r="S73" s="48" t="s">
        <v>90</v>
      </c>
      <c r="T73" s="49" t="s">
        <v>88</v>
      </c>
      <c r="U73" s="26" t="s">
        <v>89</v>
      </c>
      <c r="V73" s="48" t="s">
        <v>90</v>
      </c>
      <c r="W73" s="49" t="s">
        <v>88</v>
      </c>
      <c r="X73" s="26" t="s">
        <v>89</v>
      </c>
      <c r="Y73" s="46" t="s">
        <v>90</v>
      </c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A74" s="17" t="s">
        <v>149</v>
      </c>
      <c r="B74" s="18">
        <v>7106271.0</v>
      </c>
      <c r="C74" s="37" t="s">
        <v>95</v>
      </c>
      <c r="D74" s="50" t="s">
        <v>150</v>
      </c>
      <c r="E74" s="51">
        <v>7106283.0</v>
      </c>
      <c r="F74" s="37" t="s">
        <v>95</v>
      </c>
      <c r="G74" s="50" t="s">
        <v>150</v>
      </c>
      <c r="H74" s="51">
        <v>7101646.0</v>
      </c>
      <c r="I74" s="37" t="s">
        <v>95</v>
      </c>
      <c r="J74" s="52" t="s">
        <v>96</v>
      </c>
      <c r="K74" s="53">
        <v>7101467.0</v>
      </c>
      <c r="L74" s="37" t="s">
        <v>95</v>
      </c>
      <c r="M74" s="50" t="s">
        <v>96</v>
      </c>
      <c r="N74" s="51">
        <v>7106268.0</v>
      </c>
      <c r="O74" s="37" t="s">
        <v>102</v>
      </c>
      <c r="P74" s="52" t="s">
        <v>96</v>
      </c>
      <c r="Q74" s="53">
        <v>7101159.0</v>
      </c>
      <c r="R74" s="37" t="s">
        <v>102</v>
      </c>
      <c r="S74" s="52" t="s">
        <v>150</v>
      </c>
      <c r="T74" s="53">
        <v>7101048.0</v>
      </c>
      <c r="U74" s="37" t="s">
        <v>151</v>
      </c>
      <c r="V74" s="52" t="s">
        <v>96</v>
      </c>
      <c r="W74" s="53">
        <v>104625.0</v>
      </c>
      <c r="X74" s="37" t="s">
        <v>95</v>
      </c>
      <c r="Y74" s="50" t="s">
        <v>96</v>
      </c>
    </row>
    <row r="75">
      <c r="A75" s="17" t="s">
        <v>152</v>
      </c>
      <c r="B75" s="18">
        <v>6900252.0</v>
      </c>
      <c r="C75" s="37" t="s">
        <v>95</v>
      </c>
      <c r="D75" s="50" t="s">
        <v>96</v>
      </c>
      <c r="E75" s="51">
        <v>7100676.0</v>
      </c>
      <c r="F75" s="37" t="s">
        <v>95</v>
      </c>
      <c r="G75" s="50" t="s">
        <v>96</v>
      </c>
      <c r="H75" s="51">
        <v>7105872.0</v>
      </c>
      <c r="I75" s="37" t="s">
        <v>95</v>
      </c>
      <c r="J75" s="52" t="s">
        <v>96</v>
      </c>
      <c r="K75" s="53">
        <v>6900435.0</v>
      </c>
      <c r="L75" s="37" t="s">
        <v>95</v>
      </c>
      <c r="M75" s="50" t="s">
        <v>150</v>
      </c>
      <c r="N75" s="51">
        <v>7100297.0</v>
      </c>
      <c r="O75" s="37" t="s">
        <v>102</v>
      </c>
      <c r="P75" s="52" t="s">
        <v>150</v>
      </c>
      <c r="Q75" s="53">
        <v>466.0</v>
      </c>
      <c r="R75" s="37" t="s">
        <v>102</v>
      </c>
      <c r="S75" s="52" t="s">
        <v>150</v>
      </c>
      <c r="T75" s="53">
        <v>8270.0</v>
      </c>
      <c r="U75" s="37" t="s">
        <v>151</v>
      </c>
      <c r="V75" s="52" t="s">
        <v>96</v>
      </c>
      <c r="W75" s="53">
        <v>640003.0</v>
      </c>
      <c r="X75" s="37" t="s">
        <v>95</v>
      </c>
      <c r="Y75" s="50" t="s">
        <v>96</v>
      </c>
    </row>
    <row r="76">
      <c r="A76" s="17" t="s">
        <v>153</v>
      </c>
      <c r="B76" s="18">
        <v>100432.0</v>
      </c>
      <c r="C76" s="37" t="s">
        <v>95</v>
      </c>
      <c r="D76" s="50" t="s">
        <v>96</v>
      </c>
      <c r="E76" s="51">
        <v>483216.0</v>
      </c>
      <c r="F76" s="37" t="s">
        <v>95</v>
      </c>
      <c r="G76" s="50" t="s">
        <v>96</v>
      </c>
      <c r="H76" s="51">
        <v>325083.0</v>
      </c>
      <c r="I76" s="37" t="s">
        <v>95</v>
      </c>
      <c r="J76" s="52" t="s">
        <v>96</v>
      </c>
      <c r="K76" s="53">
        <v>1352601.0</v>
      </c>
      <c r="L76" s="37" t="s">
        <v>95</v>
      </c>
      <c r="M76" s="50" t="s">
        <v>150</v>
      </c>
      <c r="N76" s="51">
        <v>8132.0</v>
      </c>
      <c r="O76" s="37" t="s">
        <v>102</v>
      </c>
      <c r="P76" s="52" t="s">
        <v>154</v>
      </c>
      <c r="Q76" s="53">
        <v>438365.0</v>
      </c>
      <c r="R76" s="37" t="s">
        <v>102</v>
      </c>
      <c r="S76" s="52" t="s">
        <v>150</v>
      </c>
      <c r="T76" s="53">
        <v>858200.0</v>
      </c>
      <c r="U76" s="37" t="s">
        <v>151</v>
      </c>
      <c r="V76" s="52" t="s">
        <v>96</v>
      </c>
      <c r="W76" s="53">
        <v>1378849.0</v>
      </c>
      <c r="X76" s="37" t="s">
        <v>95</v>
      </c>
      <c r="Y76" s="50" t="s">
        <v>96</v>
      </c>
    </row>
    <row r="77">
      <c r="A77" s="17" t="s">
        <v>155</v>
      </c>
      <c r="B77" s="18">
        <v>1.1020471E7</v>
      </c>
      <c r="C77" s="37" t="s">
        <v>95</v>
      </c>
      <c r="D77" s="50" t="s">
        <v>150</v>
      </c>
      <c r="E77" s="51">
        <v>2102030.0</v>
      </c>
      <c r="F77" s="37" t="s">
        <v>95</v>
      </c>
      <c r="G77" s="50" t="s">
        <v>96</v>
      </c>
      <c r="H77" s="51">
        <v>60698.0</v>
      </c>
      <c r="I77" s="37" t="s">
        <v>95</v>
      </c>
      <c r="J77" s="52" t="s">
        <v>96</v>
      </c>
      <c r="K77" s="53">
        <v>2011339.0</v>
      </c>
      <c r="L77" s="37" t="s">
        <v>95</v>
      </c>
      <c r="M77" s="50" t="s">
        <v>150</v>
      </c>
      <c r="N77" s="51">
        <v>9.8120229E7</v>
      </c>
      <c r="O77" s="37" t="s">
        <v>102</v>
      </c>
      <c r="P77" s="52" t="s">
        <v>96</v>
      </c>
      <c r="Q77" s="53">
        <v>1.0110049E7</v>
      </c>
      <c r="R77" s="37" t="s">
        <v>102</v>
      </c>
      <c r="S77" s="52" t="s">
        <v>150</v>
      </c>
      <c r="T77" s="53">
        <v>2011237.0</v>
      </c>
      <c r="U77" s="37" t="s">
        <v>151</v>
      </c>
      <c r="V77" s="52" t="s">
        <v>96</v>
      </c>
      <c r="W77" s="53">
        <v>1.0070305E7</v>
      </c>
      <c r="X77" s="37" t="s">
        <v>95</v>
      </c>
      <c r="Y77" s="50" t="s">
        <v>96</v>
      </c>
    </row>
    <row r="78">
      <c r="A78" s="17" t="s">
        <v>156</v>
      </c>
      <c r="B78" s="37" t="s">
        <v>15</v>
      </c>
      <c r="C78" s="37" t="s">
        <v>95</v>
      </c>
      <c r="D78" s="50" t="s">
        <v>150</v>
      </c>
      <c r="E78" s="54" t="s">
        <v>15</v>
      </c>
      <c r="F78" s="37" t="s">
        <v>95</v>
      </c>
      <c r="G78" s="50" t="s">
        <v>96</v>
      </c>
      <c r="H78" s="54" t="s">
        <v>157</v>
      </c>
      <c r="I78" s="37" t="s">
        <v>95</v>
      </c>
      <c r="J78" s="52" t="s">
        <v>96</v>
      </c>
      <c r="K78" s="55" t="s">
        <v>15</v>
      </c>
      <c r="L78" s="37" t="s">
        <v>95</v>
      </c>
      <c r="M78" s="50" t="s">
        <v>150</v>
      </c>
      <c r="N78" s="54" t="s">
        <v>157</v>
      </c>
      <c r="O78" s="37" t="s">
        <v>102</v>
      </c>
      <c r="P78" s="52" t="s">
        <v>96</v>
      </c>
      <c r="Q78" s="55" t="s">
        <v>15</v>
      </c>
      <c r="R78" s="37" t="s">
        <v>102</v>
      </c>
      <c r="S78" s="52" t="s">
        <v>150</v>
      </c>
      <c r="T78" s="55" t="s">
        <v>15</v>
      </c>
      <c r="U78" s="37" t="s">
        <v>151</v>
      </c>
      <c r="V78" s="52" t="s">
        <v>96</v>
      </c>
      <c r="W78" s="55" t="s">
        <v>157</v>
      </c>
      <c r="X78" s="37" t="s">
        <v>95</v>
      </c>
      <c r="Y78" s="50" t="s">
        <v>96</v>
      </c>
    </row>
    <row r="79">
      <c r="A79" s="17" t="s">
        <v>158</v>
      </c>
      <c r="B79" s="37" t="s">
        <v>157</v>
      </c>
      <c r="C79" s="37" t="s">
        <v>95</v>
      </c>
      <c r="D79" s="50" t="s">
        <v>96</v>
      </c>
      <c r="E79" s="54" t="s">
        <v>15</v>
      </c>
      <c r="F79" s="37" t="s">
        <v>95</v>
      </c>
      <c r="G79" s="50" t="s">
        <v>96</v>
      </c>
      <c r="H79" s="54" t="s">
        <v>157</v>
      </c>
      <c r="I79" s="37" t="s">
        <v>95</v>
      </c>
      <c r="J79" s="52" t="s">
        <v>96</v>
      </c>
      <c r="K79" s="55" t="s">
        <v>15</v>
      </c>
      <c r="L79" s="37" t="s">
        <v>95</v>
      </c>
      <c r="M79" s="50" t="s">
        <v>150</v>
      </c>
      <c r="N79" s="54" t="s">
        <v>15</v>
      </c>
      <c r="O79" s="37" t="s">
        <v>102</v>
      </c>
      <c r="P79" s="52" t="s">
        <v>96</v>
      </c>
      <c r="Q79" s="55" t="s">
        <v>15</v>
      </c>
      <c r="R79" s="37" t="s">
        <v>102</v>
      </c>
      <c r="S79" s="52" t="s">
        <v>150</v>
      </c>
      <c r="T79" s="55" t="s">
        <v>157</v>
      </c>
      <c r="U79" s="37" t="s">
        <v>151</v>
      </c>
      <c r="V79" s="52" t="s">
        <v>96</v>
      </c>
      <c r="W79" s="55" t="s">
        <v>157</v>
      </c>
      <c r="X79" s="37" t="s">
        <v>95</v>
      </c>
      <c r="Y79" s="50" t="s">
        <v>96</v>
      </c>
    </row>
    <row r="80">
      <c r="A80" s="17" t="s">
        <v>159</v>
      </c>
      <c r="B80" s="18">
        <v>1.12101655E8</v>
      </c>
      <c r="C80" s="37" t="s">
        <v>95</v>
      </c>
      <c r="D80" s="50" t="s">
        <v>96</v>
      </c>
      <c r="E80" s="51">
        <v>3.1965887E8</v>
      </c>
      <c r="F80" s="37" t="s">
        <v>95</v>
      </c>
      <c r="G80" s="50" t="s">
        <v>96</v>
      </c>
      <c r="H80" s="51">
        <v>1.02302354E8</v>
      </c>
      <c r="I80" s="37" t="s">
        <v>95</v>
      </c>
      <c r="J80" s="52" t="s">
        <v>96</v>
      </c>
      <c r="K80" s="53">
        <v>1.12101788E8</v>
      </c>
      <c r="L80" s="37" t="s">
        <v>95</v>
      </c>
      <c r="M80" s="50" t="s">
        <v>150</v>
      </c>
      <c r="N80" s="51">
        <v>1.12100322E8</v>
      </c>
      <c r="O80" s="37" t="s">
        <v>102</v>
      </c>
      <c r="P80" s="52" t="s">
        <v>96</v>
      </c>
      <c r="Q80" s="53">
        <v>1.12101887E8</v>
      </c>
      <c r="R80" s="37" t="s">
        <v>102</v>
      </c>
      <c r="S80" s="52" t="s">
        <v>150</v>
      </c>
      <c r="T80" s="53">
        <v>1.12100289E8</v>
      </c>
      <c r="U80" s="37" t="s">
        <v>151</v>
      </c>
      <c r="V80" s="52" t="s">
        <v>96</v>
      </c>
      <c r="W80" s="53">
        <v>1.02304221E8</v>
      </c>
      <c r="X80" s="37" t="s">
        <v>95</v>
      </c>
      <c r="Y80" s="50" t="s">
        <v>96</v>
      </c>
    </row>
    <row r="81">
      <c r="A81" s="17" t="s">
        <v>160</v>
      </c>
      <c r="B81" s="37" t="s">
        <v>161</v>
      </c>
      <c r="C81" s="37" t="s">
        <v>95</v>
      </c>
      <c r="D81" s="50" t="s">
        <v>150</v>
      </c>
      <c r="E81" s="54" t="s">
        <v>15</v>
      </c>
      <c r="F81" s="37" t="s">
        <v>95</v>
      </c>
      <c r="G81" s="50" t="s">
        <v>96</v>
      </c>
      <c r="H81" s="54" t="s">
        <v>161</v>
      </c>
      <c r="I81" s="37" t="s">
        <v>95</v>
      </c>
      <c r="J81" s="52" t="s">
        <v>96</v>
      </c>
      <c r="K81" s="55" t="s">
        <v>15</v>
      </c>
      <c r="L81" s="37" t="s">
        <v>95</v>
      </c>
      <c r="M81" s="50" t="s">
        <v>150</v>
      </c>
      <c r="N81" s="54" t="s">
        <v>161</v>
      </c>
      <c r="O81" s="37" t="s">
        <v>102</v>
      </c>
      <c r="P81" s="52" t="s">
        <v>96</v>
      </c>
      <c r="Q81" s="55" t="s">
        <v>15</v>
      </c>
      <c r="R81" s="37" t="s">
        <v>102</v>
      </c>
      <c r="S81" s="52" t="s">
        <v>150</v>
      </c>
      <c r="T81" s="55" t="s">
        <v>161</v>
      </c>
      <c r="U81" s="37" t="s">
        <v>151</v>
      </c>
      <c r="V81" s="52" t="s">
        <v>96</v>
      </c>
      <c r="W81" s="55" t="s">
        <v>15</v>
      </c>
      <c r="X81" s="37" t="s">
        <v>95</v>
      </c>
      <c r="Y81" s="50" t="s">
        <v>96</v>
      </c>
    </row>
    <row r="82">
      <c r="A82" s="19" t="s">
        <v>162</v>
      </c>
      <c r="B82" s="37" t="s">
        <v>15</v>
      </c>
      <c r="C82" s="37" t="s">
        <v>95</v>
      </c>
      <c r="D82" s="50" t="s">
        <v>150</v>
      </c>
      <c r="E82" s="54" t="s">
        <v>15</v>
      </c>
      <c r="F82" s="37" t="s">
        <v>95</v>
      </c>
      <c r="G82" s="50" t="s">
        <v>96</v>
      </c>
      <c r="H82" s="54" t="s">
        <v>15</v>
      </c>
      <c r="I82" s="37" t="s">
        <v>95</v>
      </c>
      <c r="J82" s="52" t="s">
        <v>96</v>
      </c>
      <c r="K82" s="55" t="s">
        <v>15</v>
      </c>
      <c r="L82" s="37" t="s">
        <v>95</v>
      </c>
      <c r="M82" s="50" t="s">
        <v>150</v>
      </c>
      <c r="N82" s="54" t="s">
        <v>15</v>
      </c>
      <c r="O82" s="37" t="s">
        <v>102</v>
      </c>
      <c r="P82" s="52" t="s">
        <v>96</v>
      </c>
      <c r="Q82" s="55" t="s">
        <v>15</v>
      </c>
      <c r="R82" s="37" t="s">
        <v>102</v>
      </c>
      <c r="S82" s="52" t="s">
        <v>150</v>
      </c>
      <c r="T82" s="55" t="s">
        <v>15</v>
      </c>
      <c r="U82" s="37" t="s">
        <v>151</v>
      </c>
      <c r="V82" s="52" t="s">
        <v>96</v>
      </c>
      <c r="W82" s="55" t="s">
        <v>15</v>
      </c>
      <c r="X82" s="37" t="s">
        <v>95</v>
      </c>
      <c r="Y82" s="50" t="s">
        <v>96</v>
      </c>
    </row>
    <row r="83">
      <c r="A83" s="17" t="s">
        <v>163</v>
      </c>
      <c r="B83" s="18">
        <v>1108971.0</v>
      </c>
      <c r="C83" s="37" t="s">
        <v>95</v>
      </c>
      <c r="D83" s="50" t="s">
        <v>96</v>
      </c>
      <c r="E83" s="51">
        <v>1112090.0</v>
      </c>
      <c r="F83" s="37" t="s">
        <v>95</v>
      </c>
      <c r="G83" s="50" t="s">
        <v>96</v>
      </c>
      <c r="H83" s="51">
        <v>1114500.0</v>
      </c>
      <c r="I83" s="37" t="s">
        <v>95</v>
      </c>
      <c r="J83" s="52" t="s">
        <v>96</v>
      </c>
      <c r="K83" s="53">
        <v>589693.0</v>
      </c>
      <c r="L83" s="37" t="s">
        <v>95</v>
      </c>
      <c r="M83" s="50" t="s">
        <v>150</v>
      </c>
      <c r="N83" s="51">
        <v>3.1953167E8</v>
      </c>
      <c r="O83" s="37" t="s">
        <v>102</v>
      </c>
      <c r="P83" s="52" t="s">
        <v>96</v>
      </c>
      <c r="Q83" s="53">
        <v>589441.0</v>
      </c>
      <c r="R83" s="37" t="s">
        <v>102</v>
      </c>
      <c r="S83" s="52" t="s">
        <v>150</v>
      </c>
      <c r="T83" s="53">
        <v>1106112.0</v>
      </c>
      <c r="U83" s="37" t="s">
        <v>151</v>
      </c>
      <c r="V83" s="52" t="s">
        <v>96</v>
      </c>
      <c r="W83" s="56">
        <v>586954.0</v>
      </c>
      <c r="X83" s="37" t="s">
        <v>95</v>
      </c>
      <c r="Y83" s="50" t="s">
        <v>96</v>
      </c>
    </row>
    <row r="84">
      <c r="A84" s="57"/>
    </row>
    <row r="85">
      <c r="A85" s="57"/>
    </row>
    <row r="93">
      <c r="E93" s="12"/>
      <c r="F93" s="12"/>
      <c r="G93" s="12"/>
      <c r="H93" s="12"/>
      <c r="I93" s="12"/>
      <c r="J93" s="12"/>
      <c r="K93" s="12"/>
      <c r="L93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</sheetData>
  <mergeCells count="16">
    <mergeCell ref="H72:J72"/>
    <mergeCell ref="K72:M72"/>
    <mergeCell ref="N72:P72"/>
    <mergeCell ref="Q72:S72"/>
    <mergeCell ref="T72:V72"/>
    <mergeCell ref="W72:Y72"/>
    <mergeCell ref="Z72:AB72"/>
    <mergeCell ref="AC72:AE72"/>
    <mergeCell ref="AF72:AH72"/>
    <mergeCell ref="P1:Z1"/>
    <mergeCell ref="P18:Z18"/>
    <mergeCell ref="P26:Z26"/>
    <mergeCell ref="P36:S36"/>
    <mergeCell ref="W36:Y36"/>
    <mergeCell ref="B72:D72"/>
    <mergeCell ref="E72:G72"/>
  </mergeCells>
  <dataValidations>
    <dataValidation type="list" allowBlank="1" showErrorMessage="1" sqref="C13:J13">
      <formula1>"קיים,1 בלאי,2 בלאי, 1 חוסר,2 חוסר"</formula1>
    </dataValidation>
    <dataValidation type="list" allowBlank="1" showErrorMessage="1" sqref="C3:J12 C14:J68">
      <formula1>"קיים,בלאי,חוסר"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1" max="11" width="17.13"/>
    <col customWidth="1" min="12" max="12" width="15.38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6"/>
      <c r="AA1" s="7"/>
      <c r="AB1" s="7"/>
      <c r="AC1" s="7"/>
      <c r="AD1" s="3"/>
      <c r="AE1" s="3"/>
      <c r="AF1" s="3"/>
      <c r="AG1" s="3"/>
      <c r="AH1" s="3"/>
    </row>
    <row r="2" ht="26.25" customHeight="1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10" t="s">
        <v>12</v>
      </c>
      <c r="P2" s="11"/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13</v>
      </c>
      <c r="AA2" s="12"/>
      <c r="AB2" s="12"/>
      <c r="AC2" s="12"/>
    </row>
    <row r="3">
      <c r="A3" s="13" t="s">
        <v>14</v>
      </c>
      <c r="B3" s="14">
        <v>1.0</v>
      </c>
      <c r="C3" s="15" t="s">
        <v>15</v>
      </c>
      <c r="D3" s="15" t="s">
        <v>16</v>
      </c>
      <c r="E3" s="15" t="s">
        <v>15</v>
      </c>
      <c r="F3" s="15" t="s">
        <v>15</v>
      </c>
      <c r="G3" s="15" t="s">
        <v>15</v>
      </c>
      <c r="H3" s="15" t="s">
        <v>17</v>
      </c>
      <c r="I3" s="15" t="s">
        <v>15</v>
      </c>
      <c r="J3" s="15" t="s">
        <v>15</v>
      </c>
      <c r="K3" s="16" t="str">
        <f t="shared" ref="K3:K68" si="1">COUNTIF(A3:J3, "*קיים*") &amp; " קיים, " &amp; COUNTIF(A3:J3, "*בלאי*") &amp; " בלאי, " &amp; COUNTIF(A3:J3, "*חוסר*") &amp; " חוסר"</f>
        <v>7 קיים, 1 בלאי, 0 חוסר</v>
      </c>
      <c r="P3" s="17" t="s">
        <v>19</v>
      </c>
      <c r="Q3" s="18">
        <v>40.0</v>
      </c>
      <c r="R3" s="18">
        <v>40.0</v>
      </c>
      <c r="S3" s="18">
        <v>40.0</v>
      </c>
      <c r="T3" s="18">
        <v>40.0</v>
      </c>
      <c r="U3" s="18">
        <v>40.0</v>
      </c>
      <c r="V3" s="18">
        <v>40.0</v>
      </c>
      <c r="W3" s="18">
        <v>40.0</v>
      </c>
      <c r="X3" s="18">
        <v>40.0</v>
      </c>
      <c r="Y3" s="18">
        <v>40.0</v>
      </c>
      <c r="Z3" s="18">
        <f t="shared" ref="Z3:Z15" si="2">SUM(R3:Y3)</f>
        <v>320</v>
      </c>
      <c r="AA3" s="17" t="s">
        <v>19</v>
      </c>
    </row>
    <row r="4">
      <c r="A4" s="13" t="s">
        <v>20</v>
      </c>
      <c r="B4" s="14">
        <v>1.0</v>
      </c>
      <c r="C4" s="15" t="s">
        <v>15</v>
      </c>
      <c r="D4" s="15" t="s">
        <v>15</v>
      </c>
      <c r="E4" s="15" t="s">
        <v>17</v>
      </c>
      <c r="F4" s="15" t="s">
        <v>15</v>
      </c>
      <c r="G4" s="15" t="s">
        <v>15</v>
      </c>
      <c r="H4" s="15" t="s">
        <v>15</v>
      </c>
      <c r="I4" s="15" t="s">
        <v>15</v>
      </c>
      <c r="J4" s="15" t="s">
        <v>15</v>
      </c>
      <c r="K4" s="16" t="str">
        <f t="shared" si="1"/>
        <v>7 קיים, 1 בלאי, 0 חוסר</v>
      </c>
      <c r="M4" s="58"/>
      <c r="P4" s="19">
        <v>0.5</v>
      </c>
      <c r="Q4" s="18">
        <v>2.0</v>
      </c>
      <c r="R4" s="18">
        <v>2.0</v>
      </c>
      <c r="S4" s="18">
        <v>2.0</v>
      </c>
      <c r="T4" s="18">
        <v>2.0</v>
      </c>
      <c r="U4" s="18">
        <v>2.0</v>
      </c>
      <c r="V4" s="18">
        <v>2.0</v>
      </c>
      <c r="W4" s="18">
        <v>2.0</v>
      </c>
      <c r="X4" s="18">
        <v>2.0</v>
      </c>
      <c r="Y4" s="18">
        <v>2.0</v>
      </c>
      <c r="Z4" s="18">
        <f t="shared" si="2"/>
        <v>16</v>
      </c>
      <c r="AA4" s="19">
        <v>0.5</v>
      </c>
    </row>
    <row r="5">
      <c r="A5" s="13" t="s">
        <v>22</v>
      </c>
      <c r="B5" s="14">
        <v>1.0</v>
      </c>
      <c r="C5" s="15" t="s">
        <v>17</v>
      </c>
      <c r="D5" s="15" t="s">
        <v>15</v>
      </c>
      <c r="E5" s="15" t="s">
        <v>17</v>
      </c>
      <c r="F5" s="15" t="s">
        <v>15</v>
      </c>
      <c r="G5" s="15" t="s">
        <v>15</v>
      </c>
      <c r="H5" s="15" t="s">
        <v>17</v>
      </c>
      <c r="I5" s="15" t="s">
        <v>15</v>
      </c>
      <c r="J5" s="15" t="s">
        <v>15</v>
      </c>
      <c r="K5" s="16" t="str">
        <f t="shared" si="1"/>
        <v>5 קיים, 3 בלאי, 0 חוסר</v>
      </c>
      <c r="M5" s="58"/>
      <c r="P5" s="17" t="s">
        <v>23</v>
      </c>
      <c r="Q5" s="18">
        <v>10.0</v>
      </c>
      <c r="R5" s="18">
        <v>0.0</v>
      </c>
      <c r="S5" s="18">
        <v>4.0</v>
      </c>
      <c r="T5" s="18">
        <v>8.0</v>
      </c>
      <c r="U5" s="18">
        <v>7.0</v>
      </c>
      <c r="V5" s="18">
        <v>5.0</v>
      </c>
      <c r="W5" s="18">
        <v>8.0</v>
      </c>
      <c r="X5" s="18">
        <v>8.0</v>
      </c>
      <c r="Y5" s="18">
        <v>12.0</v>
      </c>
      <c r="Z5" s="18">
        <f t="shared" si="2"/>
        <v>52</v>
      </c>
      <c r="AA5" s="17" t="s">
        <v>23</v>
      </c>
    </row>
    <row r="6">
      <c r="A6" s="13" t="s">
        <v>24</v>
      </c>
      <c r="B6" s="14">
        <v>1.0</v>
      </c>
      <c r="C6" s="15" t="s">
        <v>15</v>
      </c>
      <c r="D6" s="15" t="s">
        <v>15</v>
      </c>
      <c r="E6" s="15" t="s">
        <v>15</v>
      </c>
      <c r="F6" s="15" t="s">
        <v>15</v>
      </c>
      <c r="G6" s="15" t="s">
        <v>15</v>
      </c>
      <c r="H6" s="15" t="s">
        <v>15</v>
      </c>
      <c r="I6" s="15" t="s">
        <v>15</v>
      </c>
      <c r="J6" s="15" t="s">
        <v>15</v>
      </c>
      <c r="K6" s="16" t="str">
        <f t="shared" si="1"/>
        <v>8 קיים, 0 בלאי, 0 חוסר</v>
      </c>
      <c r="M6" s="58"/>
      <c r="P6" s="17" t="s">
        <v>26</v>
      </c>
      <c r="Q6" s="18">
        <v>17.0</v>
      </c>
      <c r="R6" s="18">
        <v>20.0</v>
      </c>
      <c r="S6" s="18">
        <v>17.0</v>
      </c>
      <c r="T6" s="18">
        <v>20.0</v>
      </c>
      <c r="U6" s="18">
        <v>17.0</v>
      </c>
      <c r="V6" s="18">
        <v>25.0</v>
      </c>
      <c r="W6" s="18">
        <v>27.0</v>
      </c>
      <c r="X6" s="18">
        <v>25.0</v>
      </c>
      <c r="Y6" s="18">
        <v>20.0</v>
      </c>
      <c r="Z6" s="18">
        <f t="shared" si="2"/>
        <v>171</v>
      </c>
      <c r="AA6" s="17" t="s">
        <v>26</v>
      </c>
    </row>
    <row r="7">
      <c r="A7" s="13" t="s">
        <v>27</v>
      </c>
      <c r="B7" s="14">
        <v>1.0</v>
      </c>
      <c r="C7" s="15" t="s">
        <v>15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28</v>
      </c>
      <c r="I7" s="15" t="s">
        <v>15</v>
      </c>
      <c r="J7" s="15" t="s">
        <v>15</v>
      </c>
      <c r="K7" s="16" t="str">
        <f t="shared" si="1"/>
        <v>7 קיים, 0 בלאי, 1 חוסר</v>
      </c>
      <c r="M7" s="58"/>
      <c r="P7" s="17" t="s">
        <v>30</v>
      </c>
      <c r="Q7" s="18">
        <v>4.0</v>
      </c>
      <c r="R7" s="18">
        <v>1.0</v>
      </c>
      <c r="S7" s="18">
        <v>0.0</v>
      </c>
      <c r="T7" s="18">
        <v>2.0</v>
      </c>
      <c r="U7" s="18">
        <v>2.0</v>
      </c>
      <c r="V7" s="18">
        <v>0.0</v>
      </c>
      <c r="W7" s="18">
        <v>0.0</v>
      </c>
      <c r="X7" s="18">
        <v>0.0</v>
      </c>
      <c r="Y7" s="18">
        <v>0.0</v>
      </c>
      <c r="Z7" s="18">
        <f t="shared" si="2"/>
        <v>5</v>
      </c>
      <c r="AA7" s="17" t="s">
        <v>30</v>
      </c>
    </row>
    <row r="8">
      <c r="A8" s="13" t="s">
        <v>31</v>
      </c>
      <c r="B8" s="14">
        <v>1.0</v>
      </c>
      <c r="C8" s="15" t="s">
        <v>15</v>
      </c>
      <c r="D8" s="15" t="s">
        <v>15</v>
      </c>
      <c r="E8" s="15" t="s">
        <v>15</v>
      </c>
      <c r="F8" s="15" t="s">
        <v>15</v>
      </c>
      <c r="G8" s="15" t="s">
        <v>15</v>
      </c>
      <c r="H8" s="15" t="s">
        <v>15</v>
      </c>
      <c r="I8" s="15" t="s">
        <v>15</v>
      </c>
      <c r="J8" s="15" t="s">
        <v>15</v>
      </c>
      <c r="K8" s="16" t="str">
        <f t="shared" si="1"/>
        <v>8 קיים, 0 בלאי, 0 חוסר</v>
      </c>
      <c r="M8" s="58"/>
      <c r="P8" s="17" t="s">
        <v>32</v>
      </c>
      <c r="Q8" s="18">
        <v>3.0</v>
      </c>
      <c r="R8" s="18">
        <v>0.0</v>
      </c>
      <c r="S8" s="18">
        <v>0.0</v>
      </c>
      <c r="T8" s="18">
        <v>0.0</v>
      </c>
      <c r="U8" s="18">
        <v>0.0</v>
      </c>
      <c r="V8" s="18">
        <v>0.0</v>
      </c>
      <c r="W8" s="18">
        <v>2.0</v>
      </c>
      <c r="X8" s="18">
        <v>0.0</v>
      </c>
      <c r="Y8" s="18">
        <v>0.0</v>
      </c>
      <c r="Z8" s="18">
        <f t="shared" si="2"/>
        <v>2</v>
      </c>
      <c r="AA8" s="17" t="s">
        <v>32</v>
      </c>
    </row>
    <row r="9">
      <c r="A9" s="13" t="s">
        <v>33</v>
      </c>
      <c r="B9" s="14">
        <v>1.0</v>
      </c>
      <c r="C9" s="15" t="s">
        <v>15</v>
      </c>
      <c r="D9" s="15" t="s">
        <v>15</v>
      </c>
      <c r="E9" s="15" t="s">
        <v>15</v>
      </c>
      <c r="F9" s="15" t="s">
        <v>15</v>
      </c>
      <c r="G9" s="15" t="s">
        <v>15</v>
      </c>
      <c r="H9" s="15" t="s">
        <v>15</v>
      </c>
      <c r="I9" s="15" t="s">
        <v>15</v>
      </c>
      <c r="J9" s="15" t="s">
        <v>15</v>
      </c>
      <c r="K9" s="16" t="str">
        <f t="shared" si="1"/>
        <v>8 קיים, 0 בלאי, 0 חוסר</v>
      </c>
      <c r="M9" s="58"/>
      <c r="P9" s="17" t="s">
        <v>34</v>
      </c>
      <c r="Q9" s="18">
        <v>4.0</v>
      </c>
      <c r="R9" s="18">
        <v>0.0</v>
      </c>
      <c r="S9" s="18">
        <v>0.0</v>
      </c>
      <c r="T9" s="18">
        <v>0.0</v>
      </c>
      <c r="U9" s="18">
        <v>0.0</v>
      </c>
      <c r="V9" s="18">
        <v>0.0</v>
      </c>
      <c r="W9" s="18">
        <v>0.0</v>
      </c>
      <c r="X9" s="18">
        <v>0.0</v>
      </c>
      <c r="Y9" s="18">
        <v>0.0</v>
      </c>
      <c r="Z9" s="18">
        <f t="shared" si="2"/>
        <v>0</v>
      </c>
      <c r="AA9" s="17" t="s">
        <v>34</v>
      </c>
    </row>
    <row r="10">
      <c r="A10" s="13" t="s">
        <v>35</v>
      </c>
      <c r="B10" s="14">
        <v>1.0</v>
      </c>
      <c r="C10" s="15" t="s">
        <v>15</v>
      </c>
      <c r="D10" s="15" t="s">
        <v>15</v>
      </c>
      <c r="E10" s="15" t="s">
        <v>15</v>
      </c>
      <c r="F10" s="15" t="s">
        <v>15</v>
      </c>
      <c r="G10" s="15" t="s">
        <v>15</v>
      </c>
      <c r="H10" s="15" t="s">
        <v>15</v>
      </c>
      <c r="I10" s="15" t="s">
        <v>15</v>
      </c>
      <c r="J10" s="15" t="s">
        <v>15</v>
      </c>
      <c r="K10" s="16" t="str">
        <f t="shared" si="1"/>
        <v>8 קיים, 0 בלאי, 0 חוסר</v>
      </c>
      <c r="M10" s="58"/>
      <c r="P10" s="17" t="s">
        <v>36</v>
      </c>
      <c r="Q10" s="11"/>
      <c r="R10" s="18">
        <v>0.0</v>
      </c>
      <c r="S10" s="18">
        <v>0.0</v>
      </c>
      <c r="T10" s="18">
        <v>0.0</v>
      </c>
      <c r="U10" s="18">
        <v>0.0</v>
      </c>
      <c r="V10" s="18">
        <v>0.0</v>
      </c>
      <c r="W10" s="18">
        <v>0.0</v>
      </c>
      <c r="X10" s="18">
        <v>0.0</v>
      </c>
      <c r="Y10" s="18">
        <v>0.0</v>
      </c>
      <c r="Z10" s="18">
        <f t="shared" si="2"/>
        <v>0</v>
      </c>
      <c r="AA10" s="17" t="s">
        <v>36</v>
      </c>
    </row>
    <row r="11">
      <c r="A11" s="13" t="s">
        <v>37</v>
      </c>
      <c r="B11" s="14">
        <v>1.0</v>
      </c>
      <c r="C11" s="15" t="s">
        <v>15</v>
      </c>
      <c r="D11" s="15" t="s">
        <v>15</v>
      </c>
      <c r="E11" s="15" t="s">
        <v>15</v>
      </c>
      <c r="F11" s="15" t="s">
        <v>15</v>
      </c>
      <c r="G11" s="15" t="s">
        <v>15</v>
      </c>
      <c r="H11" s="15" t="s">
        <v>15</v>
      </c>
      <c r="I11" s="15" t="s">
        <v>15</v>
      </c>
      <c r="J11" s="15" t="s">
        <v>15</v>
      </c>
      <c r="K11" s="16" t="str">
        <f t="shared" si="1"/>
        <v>8 קיים, 0 בלאי, 0 חוסר</v>
      </c>
      <c r="M11" s="58"/>
      <c r="P11" s="17" t="s">
        <v>38</v>
      </c>
      <c r="Q11" s="11"/>
      <c r="R11" s="18">
        <v>0.0</v>
      </c>
      <c r="S11" s="18">
        <v>0.0</v>
      </c>
      <c r="T11" s="18">
        <v>6.0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f t="shared" si="2"/>
        <v>6</v>
      </c>
      <c r="AA11" s="17" t="s">
        <v>38</v>
      </c>
    </row>
    <row r="12">
      <c r="A12" s="13" t="s">
        <v>39</v>
      </c>
      <c r="B12" s="14">
        <v>1.0</v>
      </c>
      <c r="C12" s="15" t="s">
        <v>15</v>
      </c>
      <c r="D12" s="15" t="s">
        <v>15</v>
      </c>
      <c r="E12" s="15" t="s">
        <v>15</v>
      </c>
      <c r="F12" s="15" t="s">
        <v>15</v>
      </c>
      <c r="G12" s="15" t="s">
        <v>15</v>
      </c>
      <c r="H12" s="15" t="s">
        <v>15</v>
      </c>
      <c r="I12" s="15" t="s">
        <v>15</v>
      </c>
      <c r="J12" s="15" t="s">
        <v>15</v>
      </c>
      <c r="K12" s="16" t="str">
        <f t="shared" si="1"/>
        <v>8 קיים, 0 בלאי, 0 חוסר</v>
      </c>
      <c r="M12" s="58"/>
      <c r="P12" s="17" t="s">
        <v>40</v>
      </c>
      <c r="Q12" s="11"/>
      <c r="R12" s="18">
        <v>0.0</v>
      </c>
      <c r="S12" s="18">
        <v>0.0</v>
      </c>
      <c r="T12" s="18">
        <v>4.0</v>
      </c>
      <c r="U12" s="18">
        <v>0.0</v>
      </c>
      <c r="V12" s="18">
        <v>7.0</v>
      </c>
      <c r="W12" s="18">
        <v>3.0</v>
      </c>
      <c r="X12" s="18">
        <v>0.0</v>
      </c>
      <c r="Y12" s="18">
        <v>0.0</v>
      </c>
      <c r="Z12" s="18">
        <f t="shared" si="2"/>
        <v>14</v>
      </c>
      <c r="AA12" s="17" t="s">
        <v>40</v>
      </c>
    </row>
    <row r="13">
      <c r="A13" s="20" t="s">
        <v>41</v>
      </c>
      <c r="B13" s="14">
        <v>2.0</v>
      </c>
      <c r="C13" s="21" t="s">
        <v>15</v>
      </c>
      <c r="D13" s="21" t="s">
        <v>15</v>
      </c>
      <c r="E13" s="21" t="s">
        <v>15</v>
      </c>
      <c r="F13" s="21" t="s">
        <v>15</v>
      </c>
      <c r="G13" s="21" t="s">
        <v>15</v>
      </c>
      <c r="H13" s="22" t="s">
        <v>42</v>
      </c>
      <c r="I13" s="21" t="s">
        <v>15</v>
      </c>
      <c r="J13" s="21" t="s">
        <v>15</v>
      </c>
      <c r="K13" s="16" t="str">
        <f t="shared" si="1"/>
        <v>7 קיים, 0 בלאי, 1 חוסר</v>
      </c>
      <c r="M13" s="58"/>
      <c r="P13" s="17" t="s">
        <v>43</v>
      </c>
      <c r="Q13" s="18">
        <v>6.0</v>
      </c>
      <c r="R13" s="18">
        <v>6.0</v>
      </c>
      <c r="S13" s="18">
        <v>6.0</v>
      </c>
      <c r="T13" s="18">
        <v>6.0</v>
      </c>
      <c r="U13" s="18">
        <v>4.0</v>
      </c>
      <c r="V13" s="18">
        <v>6.0</v>
      </c>
      <c r="W13" s="18">
        <v>4.0</v>
      </c>
      <c r="X13" s="18">
        <v>4.0</v>
      </c>
      <c r="Y13" s="18">
        <v>6.0</v>
      </c>
      <c r="Z13" s="18">
        <f t="shared" si="2"/>
        <v>42</v>
      </c>
      <c r="AA13" s="17" t="s">
        <v>43</v>
      </c>
    </row>
    <row r="14">
      <c r="A14" s="13" t="s">
        <v>44</v>
      </c>
      <c r="B14" s="14">
        <v>1.0</v>
      </c>
      <c r="C14" s="15" t="s">
        <v>15</v>
      </c>
      <c r="D14" s="15" t="s">
        <v>15</v>
      </c>
      <c r="E14" s="15" t="s">
        <v>15</v>
      </c>
      <c r="F14" s="15" t="s">
        <v>28</v>
      </c>
      <c r="G14" s="15" t="s">
        <v>15</v>
      </c>
      <c r="H14" s="15" t="s">
        <v>15</v>
      </c>
      <c r="I14" s="15" t="s">
        <v>15</v>
      </c>
      <c r="J14" s="15" t="s">
        <v>15</v>
      </c>
      <c r="K14" s="16" t="str">
        <f t="shared" si="1"/>
        <v>7 קיים, 0 בלאי, 1 חוסר</v>
      </c>
      <c r="M14" s="58"/>
      <c r="P14" s="17" t="s">
        <v>45</v>
      </c>
      <c r="Q14" s="18">
        <v>1.0</v>
      </c>
      <c r="R14" s="18">
        <v>1.0</v>
      </c>
      <c r="S14" s="18">
        <v>1.0</v>
      </c>
      <c r="T14" s="18">
        <v>1.0</v>
      </c>
      <c r="U14" s="18">
        <v>0.0</v>
      </c>
      <c r="V14" s="18">
        <v>1.0</v>
      </c>
      <c r="W14" s="18">
        <v>0.0</v>
      </c>
      <c r="X14" s="18">
        <v>0.0</v>
      </c>
      <c r="Y14" s="18">
        <v>0.0</v>
      </c>
      <c r="Z14" s="18">
        <f t="shared" si="2"/>
        <v>4</v>
      </c>
      <c r="AA14" s="17" t="s">
        <v>45</v>
      </c>
    </row>
    <row r="15">
      <c r="A15" s="13" t="s">
        <v>46</v>
      </c>
      <c r="B15" s="14">
        <v>1.0</v>
      </c>
      <c r="C15" s="15" t="s">
        <v>15</v>
      </c>
      <c r="D15" s="15" t="s">
        <v>15</v>
      </c>
      <c r="E15" s="15" t="s">
        <v>15</v>
      </c>
      <c r="F15" s="15" t="s">
        <v>15</v>
      </c>
      <c r="G15" s="15" t="s">
        <v>15</v>
      </c>
      <c r="H15" s="15" t="s">
        <v>15</v>
      </c>
      <c r="I15" s="15" t="s">
        <v>15</v>
      </c>
      <c r="J15" s="15" t="s">
        <v>15</v>
      </c>
      <c r="K15" s="16" t="str">
        <f t="shared" si="1"/>
        <v>8 קיים, 0 בלאי, 0 חוסר</v>
      </c>
      <c r="M15" s="58"/>
      <c r="P15" s="17" t="s">
        <v>47</v>
      </c>
      <c r="Q15" s="18">
        <v>1.0</v>
      </c>
      <c r="R15" s="18">
        <v>0.0</v>
      </c>
      <c r="S15" s="18">
        <v>1.0</v>
      </c>
      <c r="T15" s="18">
        <v>0.0</v>
      </c>
      <c r="U15" s="18">
        <v>0.0</v>
      </c>
      <c r="V15" s="18">
        <v>0.0</v>
      </c>
      <c r="W15" s="18">
        <v>0.0</v>
      </c>
      <c r="X15" s="18">
        <v>0.0</v>
      </c>
      <c r="Y15" s="18">
        <v>0.0</v>
      </c>
      <c r="Z15" s="18">
        <f t="shared" si="2"/>
        <v>1</v>
      </c>
      <c r="AA15" s="17" t="s">
        <v>47</v>
      </c>
    </row>
    <row r="16">
      <c r="A16" s="13" t="s">
        <v>48</v>
      </c>
      <c r="B16" s="14">
        <v>1.0</v>
      </c>
      <c r="C16" s="15" t="s">
        <v>15</v>
      </c>
      <c r="D16" s="15" t="s">
        <v>15</v>
      </c>
      <c r="E16" s="15" t="s">
        <v>15</v>
      </c>
      <c r="F16" s="15" t="s">
        <v>15</v>
      </c>
      <c r="G16" s="15" t="s">
        <v>15</v>
      </c>
      <c r="H16" s="15" t="s">
        <v>15</v>
      </c>
      <c r="I16" s="15" t="s">
        <v>15</v>
      </c>
      <c r="J16" s="15" t="s">
        <v>15</v>
      </c>
      <c r="K16" s="16" t="str">
        <f t="shared" si="1"/>
        <v>8 קיים, 0 בלאי, 0 חוסר</v>
      </c>
      <c r="M16" s="58"/>
    </row>
    <row r="17">
      <c r="A17" s="13" t="s">
        <v>49</v>
      </c>
      <c r="B17" s="14">
        <v>1.0</v>
      </c>
      <c r="C17" s="15" t="s">
        <v>15</v>
      </c>
      <c r="D17" s="15" t="s">
        <v>15</v>
      </c>
      <c r="E17" s="15" t="s">
        <v>15</v>
      </c>
      <c r="F17" s="15" t="s">
        <v>15</v>
      </c>
      <c r="G17" s="15" t="s">
        <v>15</v>
      </c>
      <c r="H17" s="15" t="s">
        <v>15</v>
      </c>
      <c r="I17" s="15" t="s">
        <v>15</v>
      </c>
      <c r="J17" s="15" t="s">
        <v>15</v>
      </c>
      <c r="K17" s="16" t="str">
        <f t="shared" si="1"/>
        <v>8 קיים, 0 בלאי, 0 חוסר</v>
      </c>
      <c r="M17" s="58"/>
    </row>
    <row r="18">
      <c r="A18" s="13" t="s">
        <v>50</v>
      </c>
      <c r="B18" s="14">
        <v>1.0</v>
      </c>
      <c r="C18" s="15" t="s">
        <v>15</v>
      </c>
      <c r="D18" s="15" t="s">
        <v>15</v>
      </c>
      <c r="E18" s="15" t="s">
        <v>17</v>
      </c>
      <c r="F18" s="15" t="s">
        <v>17</v>
      </c>
      <c r="G18" s="15" t="s">
        <v>15</v>
      </c>
      <c r="H18" s="15" t="s">
        <v>15</v>
      </c>
      <c r="I18" s="15" t="s">
        <v>15</v>
      </c>
      <c r="J18" s="15" t="s">
        <v>15</v>
      </c>
      <c r="K18" s="16" t="str">
        <f t="shared" si="1"/>
        <v>6 קיים, 2 בלאי, 0 חוסר</v>
      </c>
      <c r="M18" s="58"/>
      <c r="P18" s="23" t="s">
        <v>51</v>
      </c>
      <c r="Q18" s="5"/>
      <c r="R18" s="5"/>
      <c r="S18" s="5"/>
      <c r="T18" s="5"/>
      <c r="U18" s="5"/>
      <c r="V18" s="5"/>
      <c r="W18" s="5"/>
      <c r="X18" s="5"/>
      <c r="Y18" s="5"/>
      <c r="Z18" s="6"/>
      <c r="AA18" s="24"/>
      <c r="AB18" s="24"/>
      <c r="AC18" s="24"/>
    </row>
    <row r="19">
      <c r="A19" s="13" t="s">
        <v>52</v>
      </c>
      <c r="B19" s="14">
        <v>9.0</v>
      </c>
      <c r="C19" s="15" t="s">
        <v>15</v>
      </c>
      <c r="D19" s="15" t="s">
        <v>15</v>
      </c>
      <c r="E19" s="15" t="s">
        <v>15</v>
      </c>
      <c r="F19" s="15" t="s">
        <v>17</v>
      </c>
      <c r="G19" s="15" t="s">
        <v>15</v>
      </c>
      <c r="H19" s="15" t="s">
        <v>15</v>
      </c>
      <c r="I19" s="15" t="s">
        <v>15</v>
      </c>
      <c r="J19" s="15" t="s">
        <v>15</v>
      </c>
      <c r="K19" s="16" t="str">
        <f t="shared" si="1"/>
        <v>7 קיים, 1 בלאי, 0 חוסר</v>
      </c>
      <c r="M19" s="59"/>
      <c r="P19" s="26"/>
      <c r="Q19" s="9" t="s">
        <v>3</v>
      </c>
      <c r="R19" s="9" t="s">
        <v>4</v>
      </c>
      <c r="S19" s="9" t="s">
        <v>5</v>
      </c>
      <c r="T19" s="9" t="s">
        <v>6</v>
      </c>
      <c r="U19" s="9" t="s">
        <v>7</v>
      </c>
      <c r="V19" s="9" t="s">
        <v>8</v>
      </c>
      <c r="W19" s="9" t="s">
        <v>9</v>
      </c>
      <c r="X19" s="9" t="s">
        <v>10</v>
      </c>
      <c r="Y19" s="9" t="s">
        <v>11</v>
      </c>
      <c r="Z19" s="9" t="s">
        <v>13</v>
      </c>
      <c r="AA19" s="12"/>
      <c r="AB19" s="12"/>
      <c r="AC19" s="12"/>
    </row>
    <row r="20">
      <c r="A20" s="27" t="s">
        <v>53</v>
      </c>
      <c r="B20" s="14">
        <v>1.0</v>
      </c>
      <c r="C20" s="15" t="s">
        <v>15</v>
      </c>
      <c r="D20" s="15" t="s">
        <v>15</v>
      </c>
      <c r="E20" s="15" t="s">
        <v>15</v>
      </c>
      <c r="F20" s="15" t="s">
        <v>15</v>
      </c>
      <c r="G20" s="15" t="s">
        <v>15</v>
      </c>
      <c r="H20" s="15" t="s">
        <v>15</v>
      </c>
      <c r="I20" s="15" t="s">
        <v>15</v>
      </c>
      <c r="J20" s="15" t="s">
        <v>15</v>
      </c>
      <c r="K20" s="16" t="str">
        <f t="shared" si="1"/>
        <v>8 קיים, 0 בלאי, 0 חוסר</v>
      </c>
      <c r="M20" s="58"/>
      <c r="P20" s="17" t="s">
        <v>54</v>
      </c>
      <c r="Q20" s="14">
        <v>2.0</v>
      </c>
      <c r="R20" s="14">
        <v>3.0</v>
      </c>
      <c r="S20" s="18">
        <v>3.0</v>
      </c>
      <c r="T20" s="18">
        <v>3.0</v>
      </c>
      <c r="U20" s="18">
        <v>2.0</v>
      </c>
      <c r="V20" s="18">
        <v>3.0</v>
      </c>
      <c r="W20" s="18">
        <v>3.0</v>
      </c>
      <c r="X20" s="18">
        <v>3.0</v>
      </c>
      <c r="Y20" s="18">
        <v>3.0</v>
      </c>
      <c r="Z20" s="18">
        <f>SUM(R20:Y20)</f>
        <v>23</v>
      </c>
    </row>
    <row r="21">
      <c r="A21" s="27" t="s">
        <v>55</v>
      </c>
      <c r="B21" s="14">
        <v>1.0</v>
      </c>
      <c r="C21" s="15" t="s">
        <v>15</v>
      </c>
      <c r="D21" s="15" t="s">
        <v>15</v>
      </c>
      <c r="E21" s="15" t="s">
        <v>15</v>
      </c>
      <c r="F21" s="15" t="s">
        <v>15</v>
      </c>
      <c r="G21" s="15" t="s">
        <v>15</v>
      </c>
      <c r="H21" s="15" t="s">
        <v>15</v>
      </c>
      <c r="I21" s="15" t="s">
        <v>15</v>
      </c>
      <c r="J21" s="15" t="s">
        <v>15</v>
      </c>
      <c r="K21" s="16" t="str">
        <f t="shared" si="1"/>
        <v>8 קיים, 0 בלאי, 0 חוסר</v>
      </c>
      <c r="M21" s="58"/>
      <c r="P21" s="17" t="s">
        <v>56</v>
      </c>
      <c r="Q21" s="14">
        <v>2.0</v>
      </c>
      <c r="R21" s="14">
        <v>4.0</v>
      </c>
      <c r="S21" s="18">
        <v>4.0</v>
      </c>
      <c r="T21" s="18">
        <v>2.0</v>
      </c>
      <c r="U21" s="18">
        <v>2.0</v>
      </c>
      <c r="V21" s="18">
        <v>2.0</v>
      </c>
      <c r="W21" s="18">
        <v>2.0</v>
      </c>
      <c r="X21" s="18">
        <v>2.0</v>
      </c>
      <c r="Y21" s="18">
        <v>2.0</v>
      </c>
      <c r="Z21" s="18">
        <v>18.0</v>
      </c>
    </row>
    <row r="22">
      <c r="A22" s="27" t="s">
        <v>57</v>
      </c>
      <c r="B22" s="14">
        <v>1.0</v>
      </c>
      <c r="C22" s="15" t="s">
        <v>15</v>
      </c>
      <c r="D22" s="15" t="s">
        <v>15</v>
      </c>
      <c r="E22" s="15" t="s">
        <v>15</v>
      </c>
      <c r="F22" s="15" t="s">
        <v>15</v>
      </c>
      <c r="G22" s="15" t="s">
        <v>15</v>
      </c>
      <c r="H22" s="15" t="s">
        <v>15</v>
      </c>
      <c r="I22" s="15" t="s">
        <v>15</v>
      </c>
      <c r="J22" s="15" t="s">
        <v>15</v>
      </c>
      <c r="K22" s="16" t="str">
        <f t="shared" si="1"/>
        <v>8 קיים, 0 בלאי, 0 חוסר</v>
      </c>
      <c r="M22" s="58"/>
      <c r="P22" s="17" t="s">
        <v>58</v>
      </c>
      <c r="Q22" s="14">
        <v>2.0</v>
      </c>
      <c r="R22" s="14">
        <v>2.0</v>
      </c>
      <c r="S22" s="18">
        <v>2.0</v>
      </c>
      <c r="T22" s="18">
        <v>2.0</v>
      </c>
      <c r="U22" s="18">
        <v>2.0</v>
      </c>
      <c r="V22" s="18">
        <v>2.0</v>
      </c>
      <c r="W22" s="18">
        <v>2.0</v>
      </c>
      <c r="X22" s="18">
        <v>2.0</v>
      </c>
      <c r="Y22" s="18">
        <v>2.0</v>
      </c>
      <c r="Z22" s="18">
        <v>16.0</v>
      </c>
    </row>
    <row r="23">
      <c r="A23" s="27" t="s">
        <v>59</v>
      </c>
      <c r="B23" s="14">
        <v>1.0</v>
      </c>
      <c r="C23" s="15" t="s">
        <v>15</v>
      </c>
      <c r="D23" s="15" t="s">
        <v>15</v>
      </c>
      <c r="E23" s="15" t="s">
        <v>15</v>
      </c>
      <c r="F23" s="15" t="s">
        <v>15</v>
      </c>
      <c r="G23" s="15" t="s">
        <v>28</v>
      </c>
      <c r="H23" s="15" t="s">
        <v>15</v>
      </c>
      <c r="I23" s="15" t="s">
        <v>15</v>
      </c>
      <c r="J23" s="15" t="s">
        <v>15</v>
      </c>
      <c r="K23" s="16" t="str">
        <f t="shared" si="1"/>
        <v>7 קיים, 0 בלאי, 1 חוסר</v>
      </c>
      <c r="M23" s="58"/>
      <c r="P23" s="17" t="s">
        <v>60</v>
      </c>
      <c r="Q23" s="14">
        <v>2.0</v>
      </c>
      <c r="R23" s="14">
        <v>2.0</v>
      </c>
      <c r="S23" s="18">
        <v>2.0</v>
      </c>
      <c r="T23" s="18">
        <v>2.0</v>
      </c>
      <c r="U23" s="18">
        <v>1.0</v>
      </c>
      <c r="V23" s="18">
        <v>2.0</v>
      </c>
      <c r="W23" s="18">
        <v>2.0</v>
      </c>
      <c r="X23" s="18">
        <v>2.0</v>
      </c>
      <c r="Y23" s="18">
        <v>2.0</v>
      </c>
      <c r="Z23" s="18">
        <v>15.0</v>
      </c>
    </row>
    <row r="24">
      <c r="A24" s="27" t="s">
        <v>61</v>
      </c>
      <c r="B24" s="14">
        <v>1.0</v>
      </c>
      <c r="C24" s="15" t="s">
        <v>15</v>
      </c>
      <c r="D24" s="15" t="s">
        <v>28</v>
      </c>
      <c r="E24" s="15" t="s">
        <v>15</v>
      </c>
      <c r="F24" s="15" t="s">
        <v>15</v>
      </c>
      <c r="G24" s="15" t="s">
        <v>15</v>
      </c>
      <c r="H24" s="15" t="s">
        <v>15</v>
      </c>
      <c r="I24" s="15" t="s">
        <v>15</v>
      </c>
      <c r="J24" s="15" t="s">
        <v>15</v>
      </c>
      <c r="K24" s="16" t="str">
        <f t="shared" si="1"/>
        <v>7 קיים, 0 בלאי, 1 חוסר</v>
      </c>
      <c r="M24" s="58"/>
      <c r="P24" s="17" t="s">
        <v>164</v>
      </c>
      <c r="Q24" s="14">
        <v>2.0</v>
      </c>
      <c r="R24" s="14">
        <v>2.0</v>
      </c>
      <c r="S24" s="18">
        <v>2.0</v>
      </c>
      <c r="T24" s="18">
        <v>2.0</v>
      </c>
      <c r="U24" s="18">
        <v>2.0</v>
      </c>
      <c r="V24" s="18">
        <v>1.0</v>
      </c>
      <c r="W24" s="18">
        <v>2.0</v>
      </c>
      <c r="X24" s="18">
        <v>2.0</v>
      </c>
      <c r="Y24" s="18">
        <v>2.0</v>
      </c>
      <c r="Z24" s="18">
        <v>15.0</v>
      </c>
    </row>
    <row r="25">
      <c r="A25" s="27" t="s">
        <v>63</v>
      </c>
      <c r="B25" s="14">
        <v>1.0</v>
      </c>
      <c r="C25" s="15" t="s">
        <v>15</v>
      </c>
      <c r="D25" s="15" t="s">
        <v>15</v>
      </c>
      <c r="E25" s="15" t="s">
        <v>15</v>
      </c>
      <c r="F25" s="15" t="s">
        <v>15</v>
      </c>
      <c r="G25" s="15" t="s">
        <v>15</v>
      </c>
      <c r="H25" s="15" t="s">
        <v>28</v>
      </c>
      <c r="I25" s="15" t="s">
        <v>15</v>
      </c>
      <c r="J25" s="15" t="s">
        <v>15</v>
      </c>
      <c r="K25" s="16" t="str">
        <f t="shared" si="1"/>
        <v>7 קיים, 0 בלאי, 1 חוסר</v>
      </c>
      <c r="M25" s="60"/>
      <c r="P25" s="12"/>
      <c r="Q25" s="24"/>
      <c r="R25" s="24"/>
      <c r="S25" s="24"/>
    </row>
    <row r="26">
      <c r="A26" s="27" t="s">
        <v>64</v>
      </c>
      <c r="B26" s="14">
        <v>1.0</v>
      </c>
      <c r="C26" s="15" t="s">
        <v>15</v>
      </c>
      <c r="D26" s="15" t="s">
        <v>15</v>
      </c>
      <c r="E26" s="15" t="s">
        <v>15</v>
      </c>
      <c r="F26" s="15" t="s">
        <v>15</v>
      </c>
      <c r="G26" s="15" t="s">
        <v>15</v>
      </c>
      <c r="H26" s="15" t="s">
        <v>15</v>
      </c>
      <c r="I26" s="15" t="s">
        <v>15</v>
      </c>
      <c r="J26" s="15" t="s">
        <v>15</v>
      </c>
      <c r="K26" s="16" t="str">
        <f t="shared" si="1"/>
        <v>8 קיים, 0 בלאי, 0 חוסר</v>
      </c>
      <c r="M26" s="60"/>
      <c r="P26" s="28" t="s">
        <v>65</v>
      </c>
      <c r="Q26" s="5"/>
      <c r="R26" s="5"/>
      <c r="S26" s="5"/>
      <c r="T26" s="5"/>
      <c r="U26" s="5"/>
      <c r="V26" s="5"/>
      <c r="W26" s="5"/>
      <c r="X26" s="5"/>
      <c r="Y26" s="5"/>
      <c r="Z26" s="6"/>
      <c r="AA26" s="29"/>
      <c r="AB26" s="29"/>
    </row>
    <row r="27">
      <c r="A27" s="27" t="s">
        <v>66</v>
      </c>
      <c r="B27" s="14">
        <v>1.0</v>
      </c>
      <c r="C27" s="15" t="s">
        <v>15</v>
      </c>
      <c r="D27" s="15" t="s">
        <v>15</v>
      </c>
      <c r="E27" s="15" t="s">
        <v>15</v>
      </c>
      <c r="F27" s="15" t="s">
        <v>15</v>
      </c>
      <c r="G27" s="15" t="s">
        <v>15</v>
      </c>
      <c r="H27" s="15" t="s">
        <v>15</v>
      </c>
      <c r="I27" s="15" t="s">
        <v>15</v>
      </c>
      <c r="J27" s="15" t="s">
        <v>15</v>
      </c>
      <c r="K27" s="16" t="str">
        <f t="shared" si="1"/>
        <v>8 קיים, 0 בלאי, 0 חוסר</v>
      </c>
      <c r="M27" s="60"/>
      <c r="P27" s="30"/>
      <c r="Q27" s="9" t="s">
        <v>3</v>
      </c>
      <c r="R27" s="9" t="s">
        <v>4</v>
      </c>
      <c r="S27" s="9" t="s">
        <v>5</v>
      </c>
      <c r="T27" s="9" t="s">
        <v>6</v>
      </c>
      <c r="U27" s="9" t="s">
        <v>7</v>
      </c>
      <c r="V27" s="9" t="s">
        <v>8</v>
      </c>
      <c r="W27" s="9" t="s">
        <v>9</v>
      </c>
      <c r="X27" s="9" t="s">
        <v>10</v>
      </c>
      <c r="Y27" s="9" t="s">
        <v>11</v>
      </c>
      <c r="Z27" s="9" t="s">
        <v>13</v>
      </c>
      <c r="AA27" s="31"/>
      <c r="AB27" s="31"/>
    </row>
    <row r="28">
      <c r="A28" s="27" t="s">
        <v>67</v>
      </c>
      <c r="B28" s="14">
        <v>1.0</v>
      </c>
      <c r="C28" s="15" t="s">
        <v>15</v>
      </c>
      <c r="D28" s="15" t="s">
        <v>15</v>
      </c>
      <c r="E28" s="15" t="s">
        <v>15</v>
      </c>
      <c r="F28" s="15" t="s">
        <v>15</v>
      </c>
      <c r="G28" s="15" t="s">
        <v>15</v>
      </c>
      <c r="H28" s="15" t="s">
        <v>15</v>
      </c>
      <c r="I28" s="15" t="s">
        <v>15</v>
      </c>
      <c r="J28" s="15" t="s">
        <v>15</v>
      </c>
      <c r="K28" s="16" t="str">
        <f t="shared" si="1"/>
        <v>8 קיים, 0 בלאי, 0 חוסר</v>
      </c>
      <c r="M28" s="60"/>
      <c r="P28" s="32" t="s">
        <v>68</v>
      </c>
      <c r="Q28" s="18">
        <v>1.0</v>
      </c>
      <c r="R28" s="33">
        <v>1.0</v>
      </c>
      <c r="S28" s="33">
        <v>1.0</v>
      </c>
      <c r="T28" s="33">
        <v>1.0</v>
      </c>
      <c r="U28" s="33">
        <v>1.0</v>
      </c>
      <c r="V28" s="33">
        <v>1.0</v>
      </c>
      <c r="W28" s="33">
        <v>1.0</v>
      </c>
      <c r="X28" s="33">
        <v>1.0</v>
      </c>
      <c r="Y28" s="33">
        <v>1.0</v>
      </c>
      <c r="Z28" s="33">
        <v>8.0</v>
      </c>
      <c r="AA28" s="34"/>
      <c r="AB28" s="34"/>
    </row>
    <row r="29">
      <c r="A29" s="27" t="s">
        <v>69</v>
      </c>
      <c r="B29" s="14">
        <v>1.0</v>
      </c>
      <c r="C29" s="15" t="s">
        <v>15</v>
      </c>
      <c r="D29" s="15" t="s">
        <v>15</v>
      </c>
      <c r="E29" s="15" t="s">
        <v>15</v>
      </c>
      <c r="F29" s="15" t="s">
        <v>15</v>
      </c>
      <c r="G29" s="15" t="s">
        <v>28</v>
      </c>
      <c r="H29" s="15" t="s">
        <v>15</v>
      </c>
      <c r="I29" s="15" t="s">
        <v>15</v>
      </c>
      <c r="J29" s="15" t="s">
        <v>15</v>
      </c>
      <c r="K29" s="16" t="str">
        <f t="shared" si="1"/>
        <v>7 קיים, 0 בלאי, 1 חוסר</v>
      </c>
      <c r="M29" s="60"/>
      <c r="P29" s="32" t="s">
        <v>70</v>
      </c>
      <c r="Q29" s="18">
        <v>5.0</v>
      </c>
      <c r="R29" s="33">
        <v>5.0</v>
      </c>
      <c r="S29" s="33">
        <v>5.0</v>
      </c>
      <c r="T29" s="33">
        <v>5.0</v>
      </c>
      <c r="U29" s="33">
        <v>5.0</v>
      </c>
      <c r="V29" s="33">
        <v>5.0</v>
      </c>
      <c r="W29" s="33">
        <v>5.0</v>
      </c>
      <c r="X29" s="33">
        <v>5.0</v>
      </c>
      <c r="Y29" s="33">
        <v>5.0</v>
      </c>
      <c r="Z29" s="33">
        <v>40.0</v>
      </c>
      <c r="AA29" s="34"/>
      <c r="AB29" s="34"/>
    </row>
    <row r="30">
      <c r="A30" s="27" t="s">
        <v>71</v>
      </c>
      <c r="B30" s="14">
        <v>1.0</v>
      </c>
      <c r="C30" s="15" t="s">
        <v>15</v>
      </c>
      <c r="D30" s="15" t="s">
        <v>15</v>
      </c>
      <c r="E30" s="15" t="s">
        <v>15</v>
      </c>
      <c r="F30" s="15" t="s">
        <v>15</v>
      </c>
      <c r="G30" s="15" t="s">
        <v>15</v>
      </c>
      <c r="H30" s="15" t="s">
        <v>15</v>
      </c>
      <c r="I30" s="15" t="s">
        <v>15</v>
      </c>
      <c r="J30" s="15" t="s">
        <v>15</v>
      </c>
      <c r="K30" s="16" t="str">
        <f t="shared" si="1"/>
        <v>8 קיים, 0 בלאי, 0 חוסר</v>
      </c>
      <c r="M30" s="60"/>
      <c r="P30" s="32" t="s">
        <v>72</v>
      </c>
      <c r="Q30" s="18">
        <v>5.0</v>
      </c>
      <c r="R30" s="33">
        <v>5.0</v>
      </c>
      <c r="S30" s="33">
        <v>5.0</v>
      </c>
      <c r="T30" s="33">
        <v>5.0</v>
      </c>
      <c r="U30" s="33">
        <v>5.0</v>
      </c>
      <c r="V30" s="33">
        <v>5.0</v>
      </c>
      <c r="W30" s="33">
        <v>5.0</v>
      </c>
      <c r="X30" s="33">
        <v>5.0</v>
      </c>
      <c r="Y30" s="33">
        <v>5.0</v>
      </c>
      <c r="Z30" s="33">
        <v>40.0</v>
      </c>
      <c r="AA30" s="34"/>
      <c r="AB30" s="34"/>
    </row>
    <row r="31">
      <c r="A31" s="27" t="s">
        <v>73</v>
      </c>
      <c r="B31" s="14">
        <v>1.0</v>
      </c>
      <c r="C31" s="15" t="s">
        <v>15</v>
      </c>
      <c r="D31" s="15" t="s">
        <v>15</v>
      </c>
      <c r="E31" s="15" t="s">
        <v>15</v>
      </c>
      <c r="F31" s="15" t="s">
        <v>28</v>
      </c>
      <c r="G31" s="15" t="s">
        <v>15</v>
      </c>
      <c r="H31" s="15" t="s">
        <v>15</v>
      </c>
      <c r="I31" s="15" t="s">
        <v>15</v>
      </c>
      <c r="J31" s="15" t="s">
        <v>15</v>
      </c>
      <c r="K31" s="16" t="str">
        <f t="shared" si="1"/>
        <v>7 קיים, 0 בלאי, 1 חוסר</v>
      </c>
      <c r="M31" s="60"/>
      <c r="P31" s="32" t="s">
        <v>74</v>
      </c>
      <c r="Q31" s="18">
        <v>1.0</v>
      </c>
      <c r="R31" s="33">
        <v>1.0</v>
      </c>
      <c r="S31" s="33">
        <v>1.0</v>
      </c>
      <c r="T31" s="33">
        <v>1.0</v>
      </c>
      <c r="U31" s="33">
        <v>1.0</v>
      </c>
      <c r="V31" s="33">
        <v>1.0</v>
      </c>
      <c r="W31" s="33">
        <v>1.0</v>
      </c>
      <c r="X31" s="33">
        <v>1.0</v>
      </c>
      <c r="Y31" s="33">
        <v>1.0</v>
      </c>
      <c r="Z31" s="33">
        <v>8.0</v>
      </c>
      <c r="AA31" s="34"/>
      <c r="AB31" s="34"/>
    </row>
    <row r="32">
      <c r="A32" s="27" t="s">
        <v>75</v>
      </c>
      <c r="B32" s="14">
        <v>1.0</v>
      </c>
      <c r="C32" s="15" t="s">
        <v>15</v>
      </c>
      <c r="D32" s="15" t="s">
        <v>28</v>
      </c>
      <c r="E32" s="15" t="s">
        <v>15</v>
      </c>
      <c r="F32" s="15" t="s">
        <v>28</v>
      </c>
      <c r="G32" s="15" t="s">
        <v>28</v>
      </c>
      <c r="H32" s="15" t="s">
        <v>28</v>
      </c>
      <c r="I32" s="15" t="s">
        <v>15</v>
      </c>
      <c r="J32" s="15" t="s">
        <v>28</v>
      </c>
      <c r="K32" s="16" t="str">
        <f t="shared" si="1"/>
        <v>3 קיים, 0 בלאי, 5 חוסר</v>
      </c>
      <c r="M32" s="60"/>
      <c r="P32" s="32" t="s">
        <v>77</v>
      </c>
      <c r="Q32" s="18">
        <v>1.0</v>
      </c>
      <c r="R32" s="33">
        <v>1.0</v>
      </c>
      <c r="S32" s="33">
        <v>1.0</v>
      </c>
      <c r="T32" s="33">
        <v>1.0</v>
      </c>
      <c r="U32" s="33">
        <v>1.0</v>
      </c>
      <c r="V32" s="33">
        <v>1.0</v>
      </c>
      <c r="W32" s="33">
        <v>1.0</v>
      </c>
      <c r="X32" s="33">
        <v>1.0</v>
      </c>
      <c r="Y32" s="33">
        <v>1.0</v>
      </c>
      <c r="Z32" s="33">
        <v>8.0</v>
      </c>
      <c r="AA32" s="34"/>
      <c r="AB32" s="34"/>
    </row>
    <row r="33">
      <c r="A33" s="27" t="s">
        <v>78</v>
      </c>
      <c r="B33" s="14">
        <v>1.0</v>
      </c>
      <c r="C33" s="15" t="s">
        <v>15</v>
      </c>
      <c r="D33" s="15" t="s">
        <v>15</v>
      </c>
      <c r="E33" s="15" t="s">
        <v>15</v>
      </c>
      <c r="F33" s="15" t="s">
        <v>28</v>
      </c>
      <c r="G33" s="15" t="s">
        <v>28</v>
      </c>
      <c r="H33" s="15" t="s">
        <v>15</v>
      </c>
      <c r="I33" s="15" t="s">
        <v>15</v>
      </c>
      <c r="J33" s="15" t="s">
        <v>15</v>
      </c>
      <c r="K33" s="16" t="str">
        <f t="shared" si="1"/>
        <v>6 קיים, 0 בלאי, 2 חוסר</v>
      </c>
      <c r="M33" s="60"/>
      <c r="P33" s="32" t="s">
        <v>80</v>
      </c>
      <c r="Q33" s="18">
        <v>1.0</v>
      </c>
      <c r="R33" s="33">
        <v>1.0</v>
      </c>
      <c r="S33" s="33">
        <v>1.0</v>
      </c>
      <c r="T33" s="33">
        <v>1.0</v>
      </c>
      <c r="U33" s="33">
        <v>1.0</v>
      </c>
      <c r="V33" s="33">
        <v>1.0</v>
      </c>
      <c r="W33" s="33">
        <v>1.0</v>
      </c>
      <c r="X33" s="33">
        <v>1.0</v>
      </c>
      <c r="Y33" s="33">
        <v>1.0</v>
      </c>
      <c r="Z33" s="33">
        <v>8.0</v>
      </c>
      <c r="AA33" s="34"/>
      <c r="AB33" s="34"/>
    </row>
    <row r="34">
      <c r="A34" s="27" t="s">
        <v>81</v>
      </c>
      <c r="B34" s="14">
        <v>1.0</v>
      </c>
      <c r="C34" s="15" t="s">
        <v>15</v>
      </c>
      <c r="D34" s="15" t="s">
        <v>15</v>
      </c>
      <c r="E34" s="15" t="s">
        <v>15</v>
      </c>
      <c r="F34" s="15" t="s">
        <v>15</v>
      </c>
      <c r="G34" s="15" t="s">
        <v>15</v>
      </c>
      <c r="H34" s="15" t="s">
        <v>15</v>
      </c>
      <c r="I34" s="15" t="s">
        <v>15</v>
      </c>
      <c r="J34" s="15" t="s">
        <v>15</v>
      </c>
      <c r="K34" s="16" t="str">
        <f t="shared" si="1"/>
        <v>8 קיים, 0 בלאי, 0 חוסר</v>
      </c>
      <c r="M34" s="60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A35" s="27" t="s">
        <v>82</v>
      </c>
      <c r="B35" s="14">
        <v>1.0</v>
      </c>
      <c r="C35" s="15" t="s">
        <v>15</v>
      </c>
      <c r="D35" s="15" t="s">
        <v>15</v>
      </c>
      <c r="E35" s="15" t="s">
        <v>15</v>
      </c>
      <c r="F35" s="15" t="s">
        <v>15</v>
      </c>
      <c r="G35" s="15" t="s">
        <v>15</v>
      </c>
      <c r="H35" s="15" t="s">
        <v>15</v>
      </c>
      <c r="I35" s="15" t="s">
        <v>15</v>
      </c>
      <c r="J35" s="15" t="s">
        <v>15</v>
      </c>
      <c r="K35" s="16" t="str">
        <f t="shared" si="1"/>
        <v>8 קיים, 0 בלאי, 0 חוסר</v>
      </c>
      <c r="M35" s="60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27" t="s">
        <v>83</v>
      </c>
      <c r="B36" s="14">
        <v>1.0</v>
      </c>
      <c r="C36" s="15" t="s">
        <v>15</v>
      </c>
      <c r="D36" s="15" t="s">
        <v>15</v>
      </c>
      <c r="E36" s="15" t="s">
        <v>15</v>
      </c>
      <c r="F36" s="15" t="s">
        <v>15</v>
      </c>
      <c r="G36" s="15" t="s">
        <v>15</v>
      </c>
      <c r="H36" s="15" t="s">
        <v>15</v>
      </c>
      <c r="I36" s="15" t="s">
        <v>15</v>
      </c>
      <c r="J36" s="15" t="s">
        <v>15</v>
      </c>
      <c r="K36" s="16" t="str">
        <f t="shared" si="1"/>
        <v>8 קיים, 0 בלאי, 0 חוסר</v>
      </c>
      <c r="M36" s="60"/>
      <c r="P36" s="36" t="s">
        <v>84</v>
      </c>
      <c r="Q36" s="5"/>
      <c r="R36" s="5"/>
      <c r="S36" s="6"/>
      <c r="W36" s="36" t="s">
        <v>85</v>
      </c>
      <c r="X36" s="5"/>
      <c r="Y36" s="6"/>
      <c r="AA36" s="35"/>
    </row>
    <row r="37">
      <c r="A37" s="27" t="s">
        <v>86</v>
      </c>
      <c r="B37" s="14">
        <v>1.0</v>
      </c>
      <c r="C37" s="15" t="s">
        <v>15</v>
      </c>
      <c r="D37" s="15" t="s">
        <v>15</v>
      </c>
      <c r="E37" s="15" t="s">
        <v>15</v>
      </c>
      <c r="F37" s="15" t="s">
        <v>15</v>
      </c>
      <c r="G37" s="15" t="s">
        <v>15</v>
      </c>
      <c r="H37" s="15" t="s">
        <v>15</v>
      </c>
      <c r="I37" s="15" t="s">
        <v>15</v>
      </c>
      <c r="J37" s="15" t="s">
        <v>15</v>
      </c>
      <c r="K37" s="16" t="str">
        <f t="shared" si="1"/>
        <v>8 קיים, 0 בלאי, 0 חוסר</v>
      </c>
      <c r="M37" s="60"/>
      <c r="P37" s="26" t="s">
        <v>87</v>
      </c>
      <c r="Q37" s="26" t="s">
        <v>88</v>
      </c>
      <c r="R37" s="26" t="s">
        <v>89</v>
      </c>
      <c r="S37" s="26" t="s">
        <v>90</v>
      </c>
      <c r="W37" s="26" t="s">
        <v>91</v>
      </c>
      <c r="X37" s="26" t="s">
        <v>89</v>
      </c>
      <c r="Y37" s="26" t="s">
        <v>92</v>
      </c>
      <c r="AA37" s="35"/>
    </row>
    <row r="38">
      <c r="A38" s="27" t="s">
        <v>93</v>
      </c>
      <c r="B38" s="14">
        <v>1.0</v>
      </c>
      <c r="C38" s="15" t="s">
        <v>15</v>
      </c>
      <c r="D38" s="15" t="s">
        <v>15</v>
      </c>
      <c r="E38" s="15" t="s">
        <v>15</v>
      </c>
      <c r="F38" s="15" t="s">
        <v>15</v>
      </c>
      <c r="G38" s="15" t="s">
        <v>15</v>
      </c>
      <c r="H38" s="15" t="s">
        <v>15</v>
      </c>
      <c r="I38" s="15" t="s">
        <v>15</v>
      </c>
      <c r="J38" s="15" t="s">
        <v>15</v>
      </c>
      <c r="K38" s="16" t="str">
        <f t="shared" si="1"/>
        <v>8 קיים, 0 בלאי, 0 חוסר</v>
      </c>
      <c r="M38" s="60"/>
      <c r="P38" s="17" t="s">
        <v>94</v>
      </c>
      <c r="Q38" s="18">
        <v>557297.0</v>
      </c>
      <c r="R38" s="37" t="s">
        <v>95</v>
      </c>
      <c r="S38" s="37" t="s">
        <v>96</v>
      </c>
      <c r="W38" s="17" t="s">
        <v>97</v>
      </c>
      <c r="X38" s="14" t="s">
        <v>98</v>
      </c>
      <c r="Y38" s="38">
        <v>46235.0</v>
      </c>
      <c r="AA38" s="35"/>
    </row>
    <row r="39">
      <c r="A39" s="27" t="s">
        <v>99</v>
      </c>
      <c r="B39" s="14">
        <v>1.0</v>
      </c>
      <c r="C39" s="15" t="s">
        <v>15</v>
      </c>
      <c r="D39" s="15" t="s">
        <v>15</v>
      </c>
      <c r="E39" s="15" t="s">
        <v>15</v>
      </c>
      <c r="F39" s="15" t="s">
        <v>15</v>
      </c>
      <c r="G39" s="15" t="s">
        <v>15</v>
      </c>
      <c r="H39" s="15" t="s">
        <v>15</v>
      </c>
      <c r="I39" s="15" t="s">
        <v>15</v>
      </c>
      <c r="J39" s="15" t="s">
        <v>15</v>
      </c>
      <c r="K39" s="16" t="str">
        <f t="shared" si="1"/>
        <v>8 קיים, 0 בלאי, 0 חוסר</v>
      </c>
      <c r="M39" s="60"/>
      <c r="P39" s="17" t="s">
        <v>94</v>
      </c>
      <c r="Q39" s="18">
        <v>557150.0</v>
      </c>
      <c r="R39" s="37" t="s">
        <v>95</v>
      </c>
      <c r="S39" s="37" t="s">
        <v>96</v>
      </c>
      <c r="W39" s="17" t="s">
        <v>100</v>
      </c>
      <c r="X39" s="14" t="s">
        <v>98</v>
      </c>
      <c r="Y39" s="38">
        <v>46235.0</v>
      </c>
      <c r="AA39" s="35"/>
    </row>
    <row r="40">
      <c r="A40" s="27" t="s">
        <v>101</v>
      </c>
      <c r="B40" s="14">
        <v>1.0</v>
      </c>
      <c r="C40" s="15" t="s">
        <v>15</v>
      </c>
      <c r="D40" s="15" t="s">
        <v>15</v>
      </c>
      <c r="E40" s="15" t="s">
        <v>15</v>
      </c>
      <c r="F40" s="15" t="s">
        <v>15</v>
      </c>
      <c r="G40" s="15" t="s">
        <v>15</v>
      </c>
      <c r="H40" s="15" t="s">
        <v>15</v>
      </c>
      <c r="I40" s="15" t="s">
        <v>15</v>
      </c>
      <c r="J40" s="15" t="s">
        <v>15</v>
      </c>
      <c r="K40" s="16" t="str">
        <f t="shared" si="1"/>
        <v>8 קיים, 0 בלאי, 0 חוסר</v>
      </c>
      <c r="M40" s="60"/>
      <c r="P40" s="17" t="s">
        <v>94</v>
      </c>
      <c r="Q40" s="18">
        <v>556873.0</v>
      </c>
      <c r="R40" s="37" t="s">
        <v>102</v>
      </c>
      <c r="S40" s="37" t="s">
        <v>96</v>
      </c>
      <c r="AA40" s="35"/>
    </row>
    <row r="41">
      <c r="A41" s="27" t="s">
        <v>103</v>
      </c>
      <c r="B41" s="14">
        <v>1.0</v>
      </c>
      <c r="C41" s="15" t="s">
        <v>15</v>
      </c>
      <c r="D41" s="15" t="s">
        <v>15</v>
      </c>
      <c r="E41" s="15" t="s">
        <v>15</v>
      </c>
      <c r="F41" s="15" t="s">
        <v>15</v>
      </c>
      <c r="G41" s="15" t="s">
        <v>15</v>
      </c>
      <c r="H41" s="15" t="s">
        <v>15</v>
      </c>
      <c r="I41" s="15" t="s">
        <v>15</v>
      </c>
      <c r="J41" s="15" t="s">
        <v>15</v>
      </c>
      <c r="K41" s="16" t="str">
        <f t="shared" si="1"/>
        <v>8 קיים, 0 בלאי, 0 חוסר</v>
      </c>
      <c r="M41" s="60"/>
      <c r="P41" s="17" t="s">
        <v>104</v>
      </c>
      <c r="Q41" s="18">
        <v>800799.0</v>
      </c>
      <c r="R41" s="37" t="s">
        <v>95</v>
      </c>
      <c r="S41" s="37" t="s">
        <v>96</v>
      </c>
      <c r="AA41" s="35"/>
    </row>
    <row r="42">
      <c r="A42" s="27" t="s">
        <v>105</v>
      </c>
      <c r="B42" s="14">
        <v>1.0</v>
      </c>
      <c r="C42" s="15" t="s">
        <v>15</v>
      </c>
      <c r="D42" s="15" t="s">
        <v>15</v>
      </c>
      <c r="E42" s="15" t="s">
        <v>15</v>
      </c>
      <c r="F42" s="15" t="s">
        <v>15</v>
      </c>
      <c r="G42" s="15" t="s">
        <v>15</v>
      </c>
      <c r="H42" s="15" t="s">
        <v>15</v>
      </c>
      <c r="I42" s="15" t="s">
        <v>15</v>
      </c>
      <c r="J42" s="15" t="s">
        <v>15</v>
      </c>
      <c r="K42" s="16" t="str">
        <f t="shared" si="1"/>
        <v>8 קיים, 0 בלאי, 0 חוסר</v>
      </c>
      <c r="M42" s="60"/>
      <c r="P42" s="17"/>
      <c r="Q42" s="11"/>
      <c r="R42" s="11"/>
      <c r="S42" s="11"/>
    </row>
    <row r="43">
      <c r="A43" s="27" t="s">
        <v>106</v>
      </c>
      <c r="B43" s="14">
        <v>1.0</v>
      </c>
      <c r="C43" s="15" t="s">
        <v>17</v>
      </c>
      <c r="D43" s="15" t="s">
        <v>17</v>
      </c>
      <c r="E43" s="15" t="s">
        <v>28</v>
      </c>
      <c r="F43" s="15" t="s">
        <v>28</v>
      </c>
      <c r="G43" s="15" t="s">
        <v>15</v>
      </c>
      <c r="H43" s="15" t="s">
        <v>17</v>
      </c>
      <c r="I43" s="15" t="s">
        <v>28</v>
      </c>
      <c r="J43" s="15" t="s">
        <v>17</v>
      </c>
      <c r="K43" s="16" t="str">
        <f t="shared" si="1"/>
        <v>1 קיים, 4 בלאי, 3 חוסר</v>
      </c>
      <c r="M43" s="60"/>
      <c r="P43" s="17"/>
      <c r="Q43" s="11"/>
      <c r="R43" s="11"/>
      <c r="S43" s="11"/>
    </row>
    <row r="44">
      <c r="A44" s="27" t="s">
        <v>108</v>
      </c>
      <c r="B44" s="14">
        <v>1.0</v>
      </c>
      <c r="C44" s="15" t="s">
        <v>15</v>
      </c>
      <c r="D44" s="15" t="s">
        <v>15</v>
      </c>
      <c r="E44" s="15" t="s">
        <v>15</v>
      </c>
      <c r="F44" s="15" t="s">
        <v>15</v>
      </c>
      <c r="G44" s="15" t="s">
        <v>15</v>
      </c>
      <c r="H44" s="15" t="s">
        <v>28</v>
      </c>
      <c r="I44" s="15" t="s">
        <v>15</v>
      </c>
      <c r="J44" s="15" t="s">
        <v>17</v>
      </c>
      <c r="K44" s="16" t="str">
        <f t="shared" si="1"/>
        <v>6 קיים, 1 בלאי, 1 חוסר</v>
      </c>
      <c r="M44" s="60"/>
      <c r="P44" s="19"/>
      <c r="Q44" s="11"/>
      <c r="R44" s="11"/>
      <c r="S44" s="11"/>
    </row>
    <row r="45">
      <c r="A45" s="27" t="s">
        <v>110</v>
      </c>
      <c r="B45" s="14">
        <v>1.0</v>
      </c>
      <c r="C45" s="15" t="s">
        <v>15</v>
      </c>
      <c r="D45" s="15" t="s">
        <v>15</v>
      </c>
      <c r="E45" s="15" t="s">
        <v>15</v>
      </c>
      <c r="F45" s="15" t="s">
        <v>15</v>
      </c>
      <c r="G45" s="15" t="s">
        <v>28</v>
      </c>
      <c r="H45" s="15" t="s">
        <v>15</v>
      </c>
      <c r="I45" s="15" t="s">
        <v>15</v>
      </c>
      <c r="J45" s="15" t="s">
        <v>15</v>
      </c>
      <c r="K45" s="16" t="str">
        <f t="shared" si="1"/>
        <v>7 קיים, 0 בלאי, 1 חוסר</v>
      </c>
      <c r="M45" s="60"/>
    </row>
    <row r="46">
      <c r="A46" s="27" t="s">
        <v>111</v>
      </c>
      <c r="B46" s="14">
        <v>1.0</v>
      </c>
      <c r="C46" s="15" t="s">
        <v>15</v>
      </c>
      <c r="D46" s="15" t="s">
        <v>15</v>
      </c>
      <c r="E46" s="15" t="s">
        <v>15</v>
      </c>
      <c r="F46" s="15" t="s">
        <v>15</v>
      </c>
      <c r="G46" s="15" t="s">
        <v>15</v>
      </c>
      <c r="H46" s="15" t="s">
        <v>15</v>
      </c>
      <c r="I46" s="15" t="s">
        <v>15</v>
      </c>
      <c r="J46" s="15" t="s">
        <v>15</v>
      </c>
      <c r="K46" s="16" t="str">
        <f t="shared" si="1"/>
        <v>8 קיים, 0 בלאי, 0 חוסר</v>
      </c>
      <c r="M46" s="60"/>
    </row>
    <row r="47">
      <c r="A47" s="27" t="s">
        <v>112</v>
      </c>
      <c r="B47" s="14">
        <v>1.0</v>
      </c>
      <c r="C47" s="15" t="s">
        <v>15</v>
      </c>
      <c r="D47" s="15" t="s">
        <v>15</v>
      </c>
      <c r="E47" s="15" t="s">
        <v>15</v>
      </c>
      <c r="F47" s="15" t="s">
        <v>15</v>
      </c>
      <c r="G47" s="15" t="s">
        <v>15</v>
      </c>
      <c r="H47" s="15" t="s">
        <v>15</v>
      </c>
      <c r="I47" s="15" t="s">
        <v>15</v>
      </c>
      <c r="J47" s="15" t="s">
        <v>15</v>
      </c>
      <c r="K47" s="16" t="str">
        <f t="shared" si="1"/>
        <v>8 קיים, 0 בלאי, 0 חוסר</v>
      </c>
      <c r="M47" s="60"/>
    </row>
    <row r="48">
      <c r="A48" s="27" t="s">
        <v>113</v>
      </c>
      <c r="B48" s="14">
        <v>1.0</v>
      </c>
      <c r="C48" s="15" t="s">
        <v>17</v>
      </c>
      <c r="D48" s="15" t="s">
        <v>15</v>
      </c>
      <c r="E48" s="15" t="s">
        <v>15</v>
      </c>
      <c r="F48" s="15" t="s">
        <v>17</v>
      </c>
      <c r="G48" s="15" t="s">
        <v>15</v>
      </c>
      <c r="H48" s="15" t="s">
        <v>15</v>
      </c>
      <c r="I48" s="15" t="s">
        <v>15</v>
      </c>
      <c r="J48" s="15" t="s">
        <v>15</v>
      </c>
      <c r="K48" s="16" t="str">
        <f t="shared" si="1"/>
        <v>6 קיים, 2 בלאי, 0 חוסר</v>
      </c>
      <c r="M48" s="60"/>
    </row>
    <row r="49">
      <c r="A49" s="27" t="s">
        <v>115</v>
      </c>
      <c r="B49" s="14">
        <v>1.0</v>
      </c>
      <c r="C49" s="15" t="s">
        <v>15</v>
      </c>
      <c r="D49" s="15" t="s">
        <v>15</v>
      </c>
      <c r="E49" s="15" t="s">
        <v>15</v>
      </c>
      <c r="F49" s="15" t="s">
        <v>15</v>
      </c>
      <c r="G49" s="15" t="s">
        <v>15</v>
      </c>
      <c r="H49" s="15" t="s">
        <v>15</v>
      </c>
      <c r="I49" s="15" t="s">
        <v>17</v>
      </c>
      <c r="J49" s="15" t="s">
        <v>15</v>
      </c>
      <c r="K49" s="16" t="str">
        <f t="shared" si="1"/>
        <v>7 קיים, 1 בלאי, 0 חוסר</v>
      </c>
      <c r="M49" s="60"/>
    </row>
    <row r="50">
      <c r="A50" s="27" t="s">
        <v>116</v>
      </c>
      <c r="B50" s="14">
        <v>1.0</v>
      </c>
      <c r="C50" s="15" t="s">
        <v>15</v>
      </c>
      <c r="D50" s="15" t="s">
        <v>15</v>
      </c>
      <c r="E50" s="15" t="s">
        <v>15</v>
      </c>
      <c r="F50" s="15" t="s">
        <v>15</v>
      </c>
      <c r="G50" s="15" t="s">
        <v>15</v>
      </c>
      <c r="H50" s="15" t="s">
        <v>15</v>
      </c>
      <c r="I50" s="15" t="s">
        <v>15</v>
      </c>
      <c r="J50" s="15" t="s">
        <v>15</v>
      </c>
      <c r="K50" s="16" t="str">
        <f t="shared" si="1"/>
        <v>8 קיים, 0 בלאי, 0 חוסר</v>
      </c>
      <c r="M50" s="60"/>
    </row>
    <row r="51">
      <c r="A51" s="27" t="s">
        <v>117</v>
      </c>
      <c r="B51" s="14">
        <v>1.0</v>
      </c>
      <c r="C51" s="15" t="s">
        <v>15</v>
      </c>
      <c r="D51" s="15" t="s">
        <v>15</v>
      </c>
      <c r="E51" s="15" t="s">
        <v>15</v>
      </c>
      <c r="F51" s="15" t="s">
        <v>28</v>
      </c>
      <c r="G51" s="15" t="s">
        <v>28</v>
      </c>
      <c r="H51" s="15" t="s">
        <v>17</v>
      </c>
      <c r="I51" s="15" t="s">
        <v>15</v>
      </c>
      <c r="J51" s="15" t="s">
        <v>15</v>
      </c>
      <c r="K51" s="16" t="str">
        <f t="shared" si="1"/>
        <v>5 קיים, 1 בלאי, 2 חוסר</v>
      </c>
      <c r="M51" s="60"/>
    </row>
    <row r="52">
      <c r="A52" s="27" t="s">
        <v>118</v>
      </c>
      <c r="B52" s="14">
        <v>1.0</v>
      </c>
      <c r="C52" s="15" t="s">
        <v>15</v>
      </c>
      <c r="D52" s="15" t="s">
        <v>15</v>
      </c>
      <c r="E52" s="15" t="s">
        <v>15</v>
      </c>
      <c r="F52" s="15" t="s">
        <v>15</v>
      </c>
      <c r="G52" s="15" t="s">
        <v>15</v>
      </c>
      <c r="H52" s="15" t="s">
        <v>15</v>
      </c>
      <c r="I52" s="15" t="s">
        <v>15</v>
      </c>
      <c r="J52" s="15" t="s">
        <v>15</v>
      </c>
      <c r="K52" s="16" t="str">
        <f t="shared" si="1"/>
        <v>8 קיים, 0 בלאי, 0 חוסר</v>
      </c>
      <c r="M52" s="60"/>
    </row>
    <row r="53">
      <c r="A53" s="27" t="s">
        <v>119</v>
      </c>
      <c r="B53" s="14">
        <v>1.0</v>
      </c>
      <c r="C53" s="15" t="s">
        <v>15</v>
      </c>
      <c r="D53" s="15" t="s">
        <v>15</v>
      </c>
      <c r="E53" s="15" t="s">
        <v>15</v>
      </c>
      <c r="F53" s="15" t="s">
        <v>15</v>
      </c>
      <c r="G53" s="15" t="s">
        <v>15</v>
      </c>
      <c r="H53" s="15" t="s">
        <v>15</v>
      </c>
      <c r="I53" s="15" t="s">
        <v>15</v>
      </c>
      <c r="J53" s="15" t="s">
        <v>15</v>
      </c>
      <c r="K53" s="16" t="str">
        <f t="shared" si="1"/>
        <v>8 קיים, 0 בלאי, 0 חוסר</v>
      </c>
      <c r="M53" s="60"/>
    </row>
    <row r="54">
      <c r="A54" s="27" t="s">
        <v>120</v>
      </c>
      <c r="B54" s="14">
        <v>1.0</v>
      </c>
      <c r="C54" s="15" t="s">
        <v>15</v>
      </c>
      <c r="D54" s="15" t="s">
        <v>15</v>
      </c>
      <c r="E54" s="15" t="s">
        <v>15</v>
      </c>
      <c r="F54" s="15" t="s">
        <v>28</v>
      </c>
      <c r="G54" s="15" t="s">
        <v>15</v>
      </c>
      <c r="H54" s="15" t="s">
        <v>15</v>
      </c>
      <c r="I54" s="15" t="s">
        <v>15</v>
      </c>
      <c r="J54" s="15" t="s">
        <v>28</v>
      </c>
      <c r="K54" s="16" t="str">
        <f t="shared" si="1"/>
        <v>6 קיים, 0 בלאי, 2 חוסר</v>
      </c>
      <c r="M54" s="60"/>
    </row>
    <row r="55">
      <c r="A55" s="27" t="s">
        <v>121</v>
      </c>
      <c r="B55" s="14">
        <v>1.0</v>
      </c>
      <c r="C55" s="15" t="s">
        <v>15</v>
      </c>
      <c r="D55" s="15" t="s">
        <v>15</v>
      </c>
      <c r="E55" s="15" t="s">
        <v>15</v>
      </c>
      <c r="F55" s="15" t="s">
        <v>15</v>
      </c>
      <c r="G55" s="15" t="s">
        <v>15</v>
      </c>
      <c r="H55" s="15" t="s">
        <v>15</v>
      </c>
      <c r="I55" s="15" t="s">
        <v>28</v>
      </c>
      <c r="J55" s="15" t="s">
        <v>15</v>
      </c>
      <c r="K55" s="16" t="str">
        <f t="shared" si="1"/>
        <v>7 קיים, 0 בלאי, 1 חוסר</v>
      </c>
      <c r="M55" s="60"/>
    </row>
    <row r="56">
      <c r="A56" s="27" t="s">
        <v>122</v>
      </c>
      <c r="B56" s="14">
        <v>1.0</v>
      </c>
      <c r="C56" s="15" t="s">
        <v>15</v>
      </c>
      <c r="D56" s="15" t="s">
        <v>15</v>
      </c>
      <c r="E56" s="15" t="s">
        <v>15</v>
      </c>
      <c r="F56" s="15" t="s">
        <v>15</v>
      </c>
      <c r="G56" s="15" t="s">
        <v>15</v>
      </c>
      <c r="H56" s="15" t="s">
        <v>15</v>
      </c>
      <c r="I56" s="15" t="s">
        <v>15</v>
      </c>
      <c r="J56" s="15" t="s">
        <v>15</v>
      </c>
      <c r="K56" s="16" t="str">
        <f t="shared" si="1"/>
        <v>8 קיים, 0 בלאי, 0 חוסר</v>
      </c>
      <c r="M56" s="60"/>
    </row>
    <row r="57">
      <c r="A57" s="27" t="s">
        <v>123</v>
      </c>
      <c r="B57" s="14">
        <v>1.0</v>
      </c>
      <c r="C57" s="15" t="s">
        <v>15</v>
      </c>
      <c r="D57" s="15" t="s">
        <v>15</v>
      </c>
      <c r="E57" s="15" t="s">
        <v>15</v>
      </c>
      <c r="F57" s="15" t="s">
        <v>15</v>
      </c>
      <c r="G57" s="15" t="s">
        <v>15</v>
      </c>
      <c r="H57" s="15" t="s">
        <v>15</v>
      </c>
      <c r="I57" s="15" t="s">
        <v>15</v>
      </c>
      <c r="J57" s="15" t="s">
        <v>15</v>
      </c>
      <c r="K57" s="16" t="str">
        <f t="shared" si="1"/>
        <v>8 קיים, 0 בלאי, 0 חוסר</v>
      </c>
      <c r="M57" s="60"/>
    </row>
    <row r="58">
      <c r="A58" s="27" t="s">
        <v>124</v>
      </c>
      <c r="B58" s="14">
        <v>1.0</v>
      </c>
      <c r="C58" s="15" t="s">
        <v>15</v>
      </c>
      <c r="D58" s="15" t="s">
        <v>15</v>
      </c>
      <c r="E58" s="15" t="s">
        <v>15</v>
      </c>
      <c r="F58" s="15" t="s">
        <v>15</v>
      </c>
      <c r="G58" s="15" t="s">
        <v>28</v>
      </c>
      <c r="H58" s="15" t="s">
        <v>28</v>
      </c>
      <c r="I58" s="15" t="s">
        <v>28</v>
      </c>
      <c r="J58" s="15" t="s">
        <v>28</v>
      </c>
      <c r="K58" s="16" t="str">
        <f t="shared" si="1"/>
        <v>4 קיים, 0 בלאי, 4 חוסר</v>
      </c>
      <c r="M58" s="60"/>
    </row>
    <row r="59">
      <c r="A59" s="27" t="s">
        <v>126</v>
      </c>
      <c r="B59" s="14">
        <v>1.0</v>
      </c>
      <c r="C59" s="15" t="s">
        <v>28</v>
      </c>
      <c r="D59" s="15" t="s">
        <v>28</v>
      </c>
      <c r="E59" s="15" t="s">
        <v>28</v>
      </c>
      <c r="F59" s="15" t="s">
        <v>28</v>
      </c>
      <c r="G59" s="15" t="s">
        <v>28</v>
      </c>
      <c r="H59" s="15" t="s">
        <v>15</v>
      </c>
      <c r="I59" s="15" t="s">
        <v>28</v>
      </c>
      <c r="J59" s="15" t="s">
        <v>28</v>
      </c>
      <c r="K59" s="16" t="str">
        <f t="shared" si="1"/>
        <v>1 קיים, 0 בלאי, 7 חוסר</v>
      </c>
      <c r="M59" s="60"/>
    </row>
    <row r="60">
      <c r="A60" s="39" t="s">
        <v>128</v>
      </c>
      <c r="B60" s="14">
        <v>1.0</v>
      </c>
      <c r="C60" s="15" t="s">
        <v>15</v>
      </c>
      <c r="D60" s="15" t="s">
        <v>15</v>
      </c>
      <c r="E60" s="15" t="s">
        <v>15</v>
      </c>
      <c r="F60" s="15" t="s">
        <v>15</v>
      </c>
      <c r="G60" s="15" t="s">
        <v>15</v>
      </c>
      <c r="H60" s="15" t="s">
        <v>15</v>
      </c>
      <c r="I60" s="15" t="s">
        <v>15</v>
      </c>
      <c r="J60" s="15" t="s">
        <v>15</v>
      </c>
      <c r="K60" s="16" t="str">
        <f t="shared" si="1"/>
        <v>8 קיים, 0 בלאי, 0 חוסר</v>
      </c>
      <c r="M60" s="60"/>
    </row>
    <row r="61">
      <c r="A61" s="27" t="s">
        <v>130</v>
      </c>
      <c r="B61" s="14">
        <v>1.0</v>
      </c>
      <c r="C61" s="15" t="s">
        <v>15</v>
      </c>
      <c r="D61" s="15" t="s">
        <v>15</v>
      </c>
      <c r="E61" s="15" t="s">
        <v>15</v>
      </c>
      <c r="F61" s="15" t="s">
        <v>15</v>
      </c>
      <c r="G61" s="15" t="s">
        <v>15</v>
      </c>
      <c r="H61" s="15" t="s">
        <v>15</v>
      </c>
      <c r="I61" s="15" t="s">
        <v>15</v>
      </c>
      <c r="J61" s="15" t="s">
        <v>15</v>
      </c>
      <c r="K61" s="16" t="str">
        <f t="shared" si="1"/>
        <v>8 קיים, 0 בלאי, 0 חוסר</v>
      </c>
      <c r="M61" s="60"/>
    </row>
    <row r="62">
      <c r="A62" s="27" t="s">
        <v>131</v>
      </c>
      <c r="B62" s="14">
        <v>1.0</v>
      </c>
      <c r="C62" s="15" t="s">
        <v>15</v>
      </c>
      <c r="D62" s="15" t="s">
        <v>15</v>
      </c>
      <c r="E62" s="15" t="s">
        <v>15</v>
      </c>
      <c r="F62" s="15" t="s">
        <v>28</v>
      </c>
      <c r="G62" s="15" t="s">
        <v>15</v>
      </c>
      <c r="H62" s="15" t="s">
        <v>15</v>
      </c>
      <c r="I62" s="15" t="s">
        <v>15</v>
      </c>
      <c r="J62" s="15" t="s">
        <v>15</v>
      </c>
      <c r="K62" s="16" t="str">
        <f t="shared" si="1"/>
        <v>7 קיים, 0 בלאי, 1 חוסר</v>
      </c>
      <c r="M62" s="60"/>
    </row>
    <row r="63">
      <c r="A63" s="27" t="s">
        <v>133</v>
      </c>
      <c r="B63" s="14">
        <v>1.0</v>
      </c>
      <c r="C63" s="15" t="s">
        <v>15</v>
      </c>
      <c r="D63" s="15" t="s">
        <v>15</v>
      </c>
      <c r="E63" s="15" t="s">
        <v>15</v>
      </c>
      <c r="F63" s="15" t="s">
        <v>15</v>
      </c>
      <c r="G63" s="15" t="s">
        <v>15</v>
      </c>
      <c r="H63" s="15" t="s">
        <v>15</v>
      </c>
      <c r="I63" s="15" t="s">
        <v>15</v>
      </c>
      <c r="J63" s="15" t="s">
        <v>15</v>
      </c>
      <c r="K63" s="16" t="str">
        <f t="shared" si="1"/>
        <v>8 קיים, 0 בלאי, 0 חוסר</v>
      </c>
      <c r="M63" s="60"/>
    </row>
    <row r="64">
      <c r="A64" s="27" t="s">
        <v>134</v>
      </c>
      <c r="B64" s="14">
        <v>1.0</v>
      </c>
      <c r="C64" s="15" t="s">
        <v>15</v>
      </c>
      <c r="D64" s="15" t="s">
        <v>15</v>
      </c>
      <c r="E64" s="15" t="s">
        <v>15</v>
      </c>
      <c r="F64" s="15" t="s">
        <v>28</v>
      </c>
      <c r="G64" s="15" t="s">
        <v>28</v>
      </c>
      <c r="H64" s="15" t="s">
        <v>15</v>
      </c>
      <c r="I64" s="15" t="s">
        <v>28</v>
      </c>
      <c r="J64" s="15" t="s">
        <v>15</v>
      </c>
      <c r="K64" s="16" t="str">
        <f t="shared" si="1"/>
        <v>5 קיים, 0 בלאי, 3 חוסר</v>
      </c>
      <c r="M64" s="60"/>
    </row>
    <row r="65">
      <c r="A65" s="27" t="s">
        <v>136</v>
      </c>
      <c r="B65" s="14">
        <v>1.0</v>
      </c>
      <c r="C65" s="15" t="s">
        <v>15</v>
      </c>
      <c r="D65" s="15" t="s">
        <v>15</v>
      </c>
      <c r="E65" s="15" t="s">
        <v>15</v>
      </c>
      <c r="F65" s="15" t="s">
        <v>15</v>
      </c>
      <c r="G65" s="15" t="s">
        <v>15</v>
      </c>
      <c r="H65" s="15" t="s">
        <v>15</v>
      </c>
      <c r="I65" s="15" t="s">
        <v>15</v>
      </c>
      <c r="J65" s="15" t="s">
        <v>15</v>
      </c>
      <c r="K65" s="16" t="str">
        <f t="shared" si="1"/>
        <v>8 קיים, 0 בלאי, 0 חוסר</v>
      </c>
      <c r="M65" s="60"/>
    </row>
    <row r="66">
      <c r="A66" s="27" t="s">
        <v>137</v>
      </c>
      <c r="B66" s="14">
        <v>1.0</v>
      </c>
      <c r="C66" s="15" t="s">
        <v>15</v>
      </c>
      <c r="D66" s="15" t="s">
        <v>15</v>
      </c>
      <c r="E66" s="15" t="s">
        <v>15</v>
      </c>
      <c r="F66" s="15" t="s">
        <v>15</v>
      </c>
      <c r="G66" s="15" t="s">
        <v>15</v>
      </c>
      <c r="H66" s="15" t="s">
        <v>28</v>
      </c>
      <c r="I66" s="15" t="s">
        <v>15</v>
      </c>
      <c r="J66" s="15" t="s">
        <v>15</v>
      </c>
      <c r="K66" s="16" t="str">
        <f t="shared" si="1"/>
        <v>7 קיים, 0 בלאי, 1 חוסר</v>
      </c>
      <c r="M66" s="60"/>
    </row>
    <row r="67">
      <c r="A67" s="27" t="s">
        <v>138</v>
      </c>
      <c r="B67" s="14">
        <v>1.0</v>
      </c>
      <c r="C67" s="15" t="s">
        <v>15</v>
      </c>
      <c r="D67" s="15" t="s">
        <v>15</v>
      </c>
      <c r="E67" s="15" t="s">
        <v>15</v>
      </c>
      <c r="F67" s="15" t="s">
        <v>15</v>
      </c>
      <c r="G67" s="15" t="s">
        <v>15</v>
      </c>
      <c r="H67" s="15" t="s">
        <v>15</v>
      </c>
      <c r="I67" s="15" t="s">
        <v>15</v>
      </c>
      <c r="J67" s="15" t="s">
        <v>17</v>
      </c>
      <c r="K67" s="16" t="str">
        <f t="shared" si="1"/>
        <v>7 קיים, 1 בלאי, 0 חוסר</v>
      </c>
      <c r="M67" s="60"/>
    </row>
    <row r="68">
      <c r="A68" s="27" t="s">
        <v>140</v>
      </c>
      <c r="B68" s="14">
        <v>1.0</v>
      </c>
      <c r="C68" s="15" t="s">
        <v>15</v>
      </c>
      <c r="D68" s="15" t="s">
        <v>15</v>
      </c>
      <c r="E68" s="15" t="s">
        <v>28</v>
      </c>
      <c r="F68" s="15" t="s">
        <v>15</v>
      </c>
      <c r="G68" s="15" t="s">
        <v>15</v>
      </c>
      <c r="H68" s="15" t="s">
        <v>28</v>
      </c>
      <c r="I68" s="15" t="s">
        <v>15</v>
      </c>
      <c r="J68" s="15" t="s">
        <v>15</v>
      </c>
      <c r="K68" s="16" t="str">
        <f t="shared" si="1"/>
        <v>6 קיים, 0 בלאי, 2 חוסר</v>
      </c>
      <c r="M68" s="60"/>
    </row>
    <row r="72">
      <c r="B72" s="40" t="s">
        <v>141</v>
      </c>
      <c r="D72" s="41"/>
      <c r="E72" s="40" t="s">
        <v>142</v>
      </c>
      <c r="G72" s="41"/>
      <c r="H72" s="40" t="s">
        <v>143</v>
      </c>
      <c r="K72" s="42" t="s">
        <v>144</v>
      </c>
      <c r="M72" s="41"/>
      <c r="N72" s="40" t="s">
        <v>145</v>
      </c>
      <c r="Q72" s="42" t="s">
        <v>146</v>
      </c>
      <c r="T72" s="42" t="s">
        <v>147</v>
      </c>
      <c r="V72" s="41"/>
      <c r="W72" s="43" t="s">
        <v>148</v>
      </c>
      <c r="X72" s="44"/>
      <c r="Y72" s="45"/>
      <c r="Z72" s="12"/>
      <c r="AC72" s="12"/>
      <c r="AF72" s="12"/>
    </row>
    <row r="73">
      <c r="A73" s="26" t="s">
        <v>87</v>
      </c>
      <c r="B73" s="26" t="s">
        <v>88</v>
      </c>
      <c r="C73" s="26" t="s">
        <v>89</v>
      </c>
      <c r="D73" s="46" t="s">
        <v>90</v>
      </c>
      <c r="E73" s="47" t="s">
        <v>88</v>
      </c>
      <c r="F73" s="26" t="s">
        <v>89</v>
      </c>
      <c r="G73" s="46" t="s">
        <v>90</v>
      </c>
      <c r="H73" s="47" t="s">
        <v>88</v>
      </c>
      <c r="I73" s="26" t="s">
        <v>89</v>
      </c>
      <c r="J73" s="48" t="s">
        <v>90</v>
      </c>
      <c r="K73" s="49" t="s">
        <v>88</v>
      </c>
      <c r="L73" s="26" t="s">
        <v>89</v>
      </c>
      <c r="M73" s="46" t="s">
        <v>90</v>
      </c>
      <c r="N73" s="47" t="s">
        <v>88</v>
      </c>
      <c r="O73" s="26" t="s">
        <v>89</v>
      </c>
      <c r="P73" s="48" t="s">
        <v>90</v>
      </c>
      <c r="Q73" s="49" t="s">
        <v>88</v>
      </c>
      <c r="R73" s="26" t="s">
        <v>89</v>
      </c>
      <c r="S73" s="48" t="s">
        <v>90</v>
      </c>
      <c r="T73" s="49" t="s">
        <v>88</v>
      </c>
      <c r="U73" s="26" t="s">
        <v>89</v>
      </c>
      <c r="V73" s="48" t="s">
        <v>90</v>
      </c>
      <c r="W73" s="49" t="s">
        <v>88</v>
      </c>
      <c r="X73" s="26" t="s">
        <v>89</v>
      </c>
      <c r="Y73" s="46" t="s">
        <v>90</v>
      </c>
      <c r="Z73" s="12"/>
      <c r="AA73" s="12"/>
      <c r="AB73" s="12"/>
      <c r="AC73" s="12"/>
      <c r="AD73" s="12"/>
      <c r="AE73" s="12"/>
      <c r="AF73" s="12"/>
      <c r="AG73" s="12"/>
      <c r="AH73" s="12"/>
    </row>
    <row r="74">
      <c r="A74" s="17" t="s">
        <v>149</v>
      </c>
      <c r="B74" s="18">
        <v>7106271.0</v>
      </c>
      <c r="C74" s="37" t="s">
        <v>95</v>
      </c>
      <c r="D74" s="50" t="s">
        <v>150</v>
      </c>
      <c r="E74" s="51">
        <v>7106283.0</v>
      </c>
      <c r="F74" s="37" t="s">
        <v>95</v>
      </c>
      <c r="G74" s="50" t="s">
        <v>150</v>
      </c>
      <c r="H74" s="51">
        <v>7101646.0</v>
      </c>
      <c r="I74" s="37" t="s">
        <v>95</v>
      </c>
      <c r="J74" s="52" t="s">
        <v>96</v>
      </c>
      <c r="K74" s="53">
        <v>7101467.0</v>
      </c>
      <c r="L74" s="37" t="s">
        <v>95</v>
      </c>
      <c r="M74" s="50" t="s">
        <v>96</v>
      </c>
      <c r="N74" s="51">
        <v>7106268.0</v>
      </c>
      <c r="O74" s="37" t="s">
        <v>102</v>
      </c>
      <c r="P74" s="52" t="s">
        <v>96</v>
      </c>
      <c r="Q74" s="53">
        <v>7101159.0</v>
      </c>
      <c r="R74" s="37" t="s">
        <v>102</v>
      </c>
      <c r="S74" s="52" t="s">
        <v>150</v>
      </c>
      <c r="T74" s="53">
        <v>7101048.0</v>
      </c>
      <c r="U74" s="37" t="s">
        <v>151</v>
      </c>
      <c r="V74" s="52" t="s">
        <v>96</v>
      </c>
      <c r="W74" s="53">
        <v>104625.0</v>
      </c>
      <c r="X74" s="37" t="s">
        <v>95</v>
      </c>
      <c r="Y74" s="50" t="s">
        <v>96</v>
      </c>
    </row>
    <row r="75">
      <c r="A75" s="17" t="s">
        <v>152</v>
      </c>
      <c r="B75" s="18">
        <v>6900252.0</v>
      </c>
      <c r="C75" s="37" t="s">
        <v>95</v>
      </c>
      <c r="D75" s="50" t="s">
        <v>96</v>
      </c>
      <c r="E75" s="51">
        <v>7100676.0</v>
      </c>
      <c r="F75" s="37" t="s">
        <v>95</v>
      </c>
      <c r="G75" s="50" t="s">
        <v>96</v>
      </c>
      <c r="H75" s="51">
        <v>7105872.0</v>
      </c>
      <c r="I75" s="37" t="s">
        <v>95</v>
      </c>
      <c r="J75" s="52" t="s">
        <v>96</v>
      </c>
      <c r="K75" s="53">
        <v>6900435.0</v>
      </c>
      <c r="L75" s="37" t="s">
        <v>95</v>
      </c>
      <c r="M75" s="50" t="s">
        <v>150</v>
      </c>
      <c r="N75" s="51">
        <v>7100297.0</v>
      </c>
      <c r="O75" s="37" t="s">
        <v>102</v>
      </c>
      <c r="P75" s="52" t="s">
        <v>150</v>
      </c>
      <c r="Q75" s="53">
        <v>466.0</v>
      </c>
      <c r="R75" s="37" t="s">
        <v>102</v>
      </c>
      <c r="S75" s="52" t="s">
        <v>150</v>
      </c>
      <c r="T75" s="53">
        <v>8270.0</v>
      </c>
      <c r="U75" s="37" t="s">
        <v>151</v>
      </c>
      <c r="V75" s="52" t="s">
        <v>96</v>
      </c>
      <c r="W75" s="53">
        <v>640003.0</v>
      </c>
      <c r="X75" s="37" t="s">
        <v>95</v>
      </c>
      <c r="Y75" s="50" t="s">
        <v>96</v>
      </c>
    </row>
    <row r="76">
      <c r="A76" s="17" t="s">
        <v>153</v>
      </c>
      <c r="B76" s="18">
        <v>100432.0</v>
      </c>
      <c r="C76" s="37" t="s">
        <v>95</v>
      </c>
      <c r="D76" s="50" t="s">
        <v>96</v>
      </c>
      <c r="E76" s="51">
        <v>483216.0</v>
      </c>
      <c r="F76" s="37" t="s">
        <v>95</v>
      </c>
      <c r="G76" s="50" t="s">
        <v>96</v>
      </c>
      <c r="H76" s="51">
        <v>325083.0</v>
      </c>
      <c r="I76" s="37" t="s">
        <v>95</v>
      </c>
      <c r="J76" s="52" t="s">
        <v>96</v>
      </c>
      <c r="K76" s="53">
        <v>1352601.0</v>
      </c>
      <c r="L76" s="37" t="s">
        <v>95</v>
      </c>
      <c r="M76" s="50" t="s">
        <v>150</v>
      </c>
      <c r="N76" s="51">
        <v>8132.0</v>
      </c>
      <c r="O76" s="37" t="s">
        <v>102</v>
      </c>
      <c r="P76" s="52" t="s">
        <v>154</v>
      </c>
      <c r="Q76" s="53">
        <v>438365.0</v>
      </c>
      <c r="R76" s="37" t="s">
        <v>102</v>
      </c>
      <c r="S76" s="52" t="s">
        <v>150</v>
      </c>
      <c r="T76" s="53">
        <v>858200.0</v>
      </c>
      <c r="U76" s="37" t="s">
        <v>151</v>
      </c>
      <c r="V76" s="52" t="s">
        <v>96</v>
      </c>
      <c r="W76" s="53">
        <v>1378849.0</v>
      </c>
      <c r="X76" s="37" t="s">
        <v>95</v>
      </c>
      <c r="Y76" s="50" t="s">
        <v>96</v>
      </c>
    </row>
    <row r="77">
      <c r="A77" s="17" t="s">
        <v>155</v>
      </c>
      <c r="B77" s="18">
        <v>1.1020471E7</v>
      </c>
      <c r="C77" s="37" t="s">
        <v>95</v>
      </c>
      <c r="D77" s="50" t="s">
        <v>150</v>
      </c>
      <c r="E77" s="51">
        <v>2102030.0</v>
      </c>
      <c r="F77" s="37" t="s">
        <v>95</v>
      </c>
      <c r="G77" s="50" t="s">
        <v>96</v>
      </c>
      <c r="H77" s="51">
        <v>60698.0</v>
      </c>
      <c r="I77" s="37" t="s">
        <v>95</v>
      </c>
      <c r="J77" s="52" t="s">
        <v>96</v>
      </c>
      <c r="K77" s="53">
        <v>2011339.0</v>
      </c>
      <c r="L77" s="37" t="s">
        <v>95</v>
      </c>
      <c r="M77" s="50" t="s">
        <v>150</v>
      </c>
      <c r="N77" s="51">
        <v>9.8120229E7</v>
      </c>
      <c r="O77" s="37" t="s">
        <v>102</v>
      </c>
      <c r="P77" s="52" t="s">
        <v>96</v>
      </c>
      <c r="Q77" s="53">
        <v>1.0110049E7</v>
      </c>
      <c r="R77" s="37" t="s">
        <v>102</v>
      </c>
      <c r="S77" s="52" t="s">
        <v>150</v>
      </c>
      <c r="T77" s="53">
        <v>2011237.0</v>
      </c>
      <c r="U77" s="37" t="s">
        <v>151</v>
      </c>
      <c r="V77" s="52" t="s">
        <v>96</v>
      </c>
      <c r="W77" s="53">
        <v>1.0070305E7</v>
      </c>
      <c r="X77" s="37" t="s">
        <v>95</v>
      </c>
      <c r="Y77" s="50" t="s">
        <v>96</v>
      </c>
    </row>
    <row r="78">
      <c r="A78" s="17" t="s">
        <v>156</v>
      </c>
      <c r="B78" s="37" t="s">
        <v>15</v>
      </c>
      <c r="C78" s="37" t="s">
        <v>95</v>
      </c>
      <c r="D78" s="50" t="s">
        <v>150</v>
      </c>
      <c r="E78" s="54" t="s">
        <v>15</v>
      </c>
      <c r="F78" s="37" t="s">
        <v>95</v>
      </c>
      <c r="G78" s="50" t="s">
        <v>96</v>
      </c>
      <c r="H78" s="54" t="s">
        <v>157</v>
      </c>
      <c r="I78" s="37" t="s">
        <v>95</v>
      </c>
      <c r="J78" s="52" t="s">
        <v>96</v>
      </c>
      <c r="K78" s="55" t="s">
        <v>15</v>
      </c>
      <c r="L78" s="37" t="s">
        <v>95</v>
      </c>
      <c r="M78" s="50" t="s">
        <v>150</v>
      </c>
      <c r="N78" s="54" t="s">
        <v>157</v>
      </c>
      <c r="O78" s="37" t="s">
        <v>102</v>
      </c>
      <c r="P78" s="52" t="s">
        <v>96</v>
      </c>
      <c r="Q78" s="55" t="s">
        <v>15</v>
      </c>
      <c r="R78" s="37" t="s">
        <v>102</v>
      </c>
      <c r="S78" s="52" t="s">
        <v>150</v>
      </c>
      <c r="T78" s="55" t="s">
        <v>15</v>
      </c>
      <c r="U78" s="37" t="s">
        <v>151</v>
      </c>
      <c r="V78" s="52" t="s">
        <v>96</v>
      </c>
      <c r="W78" s="55" t="s">
        <v>157</v>
      </c>
      <c r="X78" s="37" t="s">
        <v>95</v>
      </c>
      <c r="Y78" s="50" t="s">
        <v>96</v>
      </c>
    </row>
    <row r="79">
      <c r="A79" s="17" t="s">
        <v>158</v>
      </c>
      <c r="B79" s="37" t="s">
        <v>157</v>
      </c>
      <c r="C79" s="37" t="s">
        <v>95</v>
      </c>
      <c r="D79" s="50" t="s">
        <v>96</v>
      </c>
      <c r="E79" s="54" t="s">
        <v>15</v>
      </c>
      <c r="F79" s="37" t="s">
        <v>95</v>
      </c>
      <c r="G79" s="50" t="s">
        <v>96</v>
      </c>
      <c r="H79" s="54" t="s">
        <v>157</v>
      </c>
      <c r="I79" s="37" t="s">
        <v>95</v>
      </c>
      <c r="J79" s="52" t="s">
        <v>96</v>
      </c>
      <c r="K79" s="55" t="s">
        <v>15</v>
      </c>
      <c r="L79" s="37" t="s">
        <v>95</v>
      </c>
      <c r="M79" s="50" t="s">
        <v>150</v>
      </c>
      <c r="N79" s="54" t="s">
        <v>15</v>
      </c>
      <c r="O79" s="37" t="s">
        <v>102</v>
      </c>
      <c r="P79" s="52" t="s">
        <v>96</v>
      </c>
      <c r="Q79" s="55" t="s">
        <v>15</v>
      </c>
      <c r="R79" s="37" t="s">
        <v>102</v>
      </c>
      <c r="S79" s="52" t="s">
        <v>150</v>
      </c>
      <c r="T79" s="55" t="s">
        <v>157</v>
      </c>
      <c r="U79" s="37" t="s">
        <v>151</v>
      </c>
      <c r="V79" s="52" t="s">
        <v>96</v>
      </c>
      <c r="W79" s="55" t="s">
        <v>157</v>
      </c>
      <c r="X79" s="37" t="s">
        <v>95</v>
      </c>
      <c r="Y79" s="50" t="s">
        <v>96</v>
      </c>
    </row>
    <row r="80">
      <c r="A80" s="17" t="s">
        <v>159</v>
      </c>
      <c r="B80" s="18">
        <v>1.12101655E8</v>
      </c>
      <c r="C80" s="37" t="s">
        <v>95</v>
      </c>
      <c r="D80" s="50" t="s">
        <v>96</v>
      </c>
      <c r="E80" s="51">
        <v>3.1965887E8</v>
      </c>
      <c r="F80" s="37" t="s">
        <v>95</v>
      </c>
      <c r="G80" s="50" t="s">
        <v>96</v>
      </c>
      <c r="H80" s="51">
        <v>1.02302354E8</v>
      </c>
      <c r="I80" s="37" t="s">
        <v>95</v>
      </c>
      <c r="J80" s="52" t="s">
        <v>96</v>
      </c>
      <c r="K80" s="53">
        <v>1.12101788E8</v>
      </c>
      <c r="L80" s="37" t="s">
        <v>95</v>
      </c>
      <c r="M80" s="50" t="s">
        <v>150</v>
      </c>
      <c r="N80" s="51">
        <v>1.12100322E8</v>
      </c>
      <c r="O80" s="37" t="s">
        <v>102</v>
      </c>
      <c r="P80" s="52" t="s">
        <v>96</v>
      </c>
      <c r="Q80" s="53">
        <v>1.12101887E8</v>
      </c>
      <c r="R80" s="37" t="s">
        <v>102</v>
      </c>
      <c r="S80" s="52" t="s">
        <v>150</v>
      </c>
      <c r="T80" s="53">
        <v>1.12100289E8</v>
      </c>
      <c r="U80" s="37" t="s">
        <v>151</v>
      </c>
      <c r="V80" s="52" t="s">
        <v>96</v>
      </c>
      <c r="W80" s="53">
        <v>1.02304221E8</v>
      </c>
      <c r="X80" s="37" t="s">
        <v>95</v>
      </c>
      <c r="Y80" s="50" t="s">
        <v>96</v>
      </c>
    </row>
    <row r="81">
      <c r="A81" s="17" t="s">
        <v>160</v>
      </c>
      <c r="B81" s="37" t="s">
        <v>161</v>
      </c>
      <c r="C81" s="37" t="s">
        <v>95</v>
      </c>
      <c r="D81" s="50" t="s">
        <v>150</v>
      </c>
      <c r="E81" s="54" t="s">
        <v>15</v>
      </c>
      <c r="F81" s="37" t="s">
        <v>95</v>
      </c>
      <c r="G81" s="50" t="s">
        <v>96</v>
      </c>
      <c r="H81" s="54" t="s">
        <v>161</v>
      </c>
      <c r="I81" s="37" t="s">
        <v>95</v>
      </c>
      <c r="J81" s="52" t="s">
        <v>96</v>
      </c>
      <c r="K81" s="55" t="s">
        <v>15</v>
      </c>
      <c r="L81" s="37" t="s">
        <v>95</v>
      </c>
      <c r="M81" s="50" t="s">
        <v>150</v>
      </c>
      <c r="N81" s="54" t="s">
        <v>161</v>
      </c>
      <c r="O81" s="37" t="s">
        <v>102</v>
      </c>
      <c r="P81" s="52" t="s">
        <v>96</v>
      </c>
      <c r="Q81" s="55" t="s">
        <v>15</v>
      </c>
      <c r="R81" s="37" t="s">
        <v>102</v>
      </c>
      <c r="S81" s="52" t="s">
        <v>150</v>
      </c>
      <c r="T81" s="55" t="s">
        <v>161</v>
      </c>
      <c r="U81" s="37" t="s">
        <v>151</v>
      </c>
      <c r="V81" s="52" t="s">
        <v>96</v>
      </c>
      <c r="W81" s="55" t="s">
        <v>15</v>
      </c>
      <c r="X81" s="37" t="s">
        <v>95</v>
      </c>
      <c r="Y81" s="50" t="s">
        <v>96</v>
      </c>
    </row>
    <row r="82">
      <c r="A82" s="19" t="s">
        <v>162</v>
      </c>
      <c r="B82" s="37" t="s">
        <v>15</v>
      </c>
      <c r="C82" s="37" t="s">
        <v>95</v>
      </c>
      <c r="D82" s="50" t="s">
        <v>150</v>
      </c>
      <c r="E82" s="54" t="s">
        <v>15</v>
      </c>
      <c r="F82" s="37" t="s">
        <v>95</v>
      </c>
      <c r="G82" s="50" t="s">
        <v>96</v>
      </c>
      <c r="H82" s="54" t="s">
        <v>15</v>
      </c>
      <c r="I82" s="37" t="s">
        <v>95</v>
      </c>
      <c r="J82" s="52" t="s">
        <v>96</v>
      </c>
      <c r="K82" s="55" t="s">
        <v>15</v>
      </c>
      <c r="L82" s="37" t="s">
        <v>95</v>
      </c>
      <c r="M82" s="50" t="s">
        <v>150</v>
      </c>
      <c r="N82" s="54" t="s">
        <v>15</v>
      </c>
      <c r="O82" s="37" t="s">
        <v>102</v>
      </c>
      <c r="P82" s="52" t="s">
        <v>96</v>
      </c>
      <c r="Q82" s="55" t="s">
        <v>15</v>
      </c>
      <c r="R82" s="37" t="s">
        <v>102</v>
      </c>
      <c r="S82" s="52" t="s">
        <v>150</v>
      </c>
      <c r="T82" s="55" t="s">
        <v>15</v>
      </c>
      <c r="U82" s="37" t="s">
        <v>151</v>
      </c>
      <c r="V82" s="52" t="s">
        <v>96</v>
      </c>
      <c r="W82" s="55" t="s">
        <v>15</v>
      </c>
      <c r="X82" s="37" t="s">
        <v>95</v>
      </c>
      <c r="Y82" s="50" t="s">
        <v>96</v>
      </c>
    </row>
    <row r="83">
      <c r="A83" s="17" t="s">
        <v>163</v>
      </c>
      <c r="B83" s="18">
        <v>1108971.0</v>
      </c>
      <c r="C83" s="37" t="s">
        <v>95</v>
      </c>
      <c r="D83" s="50" t="s">
        <v>96</v>
      </c>
      <c r="E83" s="51">
        <v>1112090.0</v>
      </c>
      <c r="F83" s="37" t="s">
        <v>95</v>
      </c>
      <c r="G83" s="50" t="s">
        <v>96</v>
      </c>
      <c r="H83" s="51">
        <v>1114500.0</v>
      </c>
      <c r="I83" s="37" t="s">
        <v>95</v>
      </c>
      <c r="J83" s="52" t="s">
        <v>96</v>
      </c>
      <c r="K83" s="53">
        <v>589693.0</v>
      </c>
      <c r="L83" s="37" t="s">
        <v>95</v>
      </c>
      <c r="M83" s="50" t="s">
        <v>150</v>
      </c>
      <c r="N83" s="51">
        <v>3.1953167E8</v>
      </c>
      <c r="O83" s="37" t="s">
        <v>102</v>
      </c>
      <c r="P83" s="52" t="s">
        <v>96</v>
      </c>
      <c r="Q83" s="53">
        <v>589441.0</v>
      </c>
      <c r="R83" s="37" t="s">
        <v>102</v>
      </c>
      <c r="S83" s="52" t="s">
        <v>150</v>
      </c>
      <c r="T83" s="53">
        <v>1106112.0</v>
      </c>
      <c r="U83" s="37" t="s">
        <v>151</v>
      </c>
      <c r="V83" s="52" t="s">
        <v>96</v>
      </c>
      <c r="W83" s="56">
        <v>586954.0</v>
      </c>
      <c r="X83" s="37" t="s">
        <v>95</v>
      </c>
      <c r="Y83" s="50" t="s">
        <v>96</v>
      </c>
    </row>
    <row r="84">
      <c r="A84" s="57"/>
    </row>
    <row r="85">
      <c r="A85" s="57"/>
    </row>
    <row r="93">
      <c r="E93" s="12"/>
      <c r="F93" s="12"/>
      <c r="G93" s="12"/>
      <c r="H93" s="12"/>
      <c r="I93" s="12"/>
      <c r="J93" s="12"/>
      <c r="K93" s="12"/>
      <c r="L93" s="12"/>
    </row>
    <row r="94">
      <c r="G94" s="16" t="str">
        <f t="shared" ref="G94:G159" si="3">COUNTIF(#REF!, "*קיים*") &amp; " קיים, " &amp; COUNTIF(#REF!, "*בלאי*") &amp; " בלאי, " &amp; COUNTIF(#REF!, "*חוסר*") &amp; " חוסר"</f>
        <v>0 קיים, 0 בלאי, 0 חוסר</v>
      </c>
    </row>
    <row r="95">
      <c r="G95" s="16" t="str">
        <f t="shared" si="3"/>
        <v>0 קיים, 0 בלאי, 0 חוסר</v>
      </c>
    </row>
    <row r="96">
      <c r="G96" s="16" t="str">
        <f t="shared" si="3"/>
        <v>0 קיים, 0 בלאי, 0 חוסר</v>
      </c>
    </row>
    <row r="97">
      <c r="A97" s="12"/>
      <c r="B97" s="12"/>
      <c r="C97" s="12"/>
      <c r="D97" s="12"/>
      <c r="E97" s="12"/>
      <c r="F97" s="12"/>
      <c r="G97" s="16" t="str">
        <f t="shared" si="3"/>
        <v>0 קיים, 0 בלאי, 0 חוסר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>
      <c r="A98" s="12"/>
      <c r="B98" s="12"/>
      <c r="C98" s="12"/>
      <c r="D98" s="12"/>
      <c r="E98" s="12"/>
      <c r="F98" s="12"/>
      <c r="G98" s="16" t="str">
        <f t="shared" si="3"/>
        <v>0 קיים, 0 בלאי, 0 חוסר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>
      <c r="A99" s="12"/>
      <c r="B99" s="12"/>
      <c r="C99" s="12"/>
      <c r="D99" s="12"/>
      <c r="E99" s="12"/>
      <c r="F99" s="12"/>
      <c r="G99" s="16" t="str">
        <f t="shared" si="3"/>
        <v>0 קיים, 0 בלאי, 0 חוסר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>
      <c r="A100" s="12"/>
      <c r="B100" s="12"/>
      <c r="C100" s="12"/>
      <c r="D100" s="12"/>
      <c r="E100" s="12"/>
      <c r="F100" s="12"/>
      <c r="G100" s="16" t="str">
        <f t="shared" si="3"/>
        <v>0 קיים, 0 בלאי, 0 חוסר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>
      <c r="A101" s="12"/>
      <c r="B101" s="12"/>
      <c r="C101" s="12"/>
      <c r="D101" s="12"/>
      <c r="E101" s="12"/>
      <c r="F101" s="12"/>
      <c r="G101" s="16" t="str">
        <f t="shared" si="3"/>
        <v>0 קיים, 0 בלאי, 0 חוסר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>
      <c r="A102" s="12"/>
      <c r="B102" s="12"/>
      <c r="C102" s="12"/>
      <c r="D102" s="12"/>
      <c r="E102" s="12"/>
      <c r="F102" s="12"/>
      <c r="G102" s="16" t="str">
        <f t="shared" si="3"/>
        <v>0 קיים, 0 בלאי, 0 חוסר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>
      <c r="A103" s="12"/>
      <c r="B103" s="12"/>
      <c r="C103" s="12"/>
      <c r="D103" s="12"/>
      <c r="E103" s="12"/>
      <c r="F103" s="12"/>
      <c r="G103" s="16" t="str">
        <f t="shared" si="3"/>
        <v>0 קיים, 0 בלאי, 0 חוסר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>
      <c r="A104" s="12"/>
      <c r="B104" s="12"/>
      <c r="C104" s="12"/>
      <c r="D104" s="12"/>
      <c r="E104" s="12"/>
      <c r="F104" s="12"/>
      <c r="G104" s="16" t="str">
        <f t="shared" si="3"/>
        <v>0 קיים, 0 בלאי, 0 חוסר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>
      <c r="A105" s="12"/>
      <c r="B105" s="12"/>
      <c r="C105" s="12"/>
      <c r="D105" s="12"/>
      <c r="E105" s="12"/>
      <c r="F105" s="12"/>
      <c r="G105" s="16" t="str">
        <f t="shared" si="3"/>
        <v>0 קיים, 0 בלאי, 0 חוסר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>
      <c r="A106" s="12"/>
      <c r="B106" s="12"/>
      <c r="C106" s="12"/>
      <c r="D106" s="12"/>
      <c r="E106" s="12"/>
      <c r="F106" s="12"/>
      <c r="G106" s="16" t="str">
        <f t="shared" si="3"/>
        <v>0 קיים, 0 בלאי, 0 חוסר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>
      <c r="A107" s="12"/>
      <c r="B107" s="12"/>
      <c r="C107" s="12"/>
      <c r="D107" s="12"/>
      <c r="E107" s="12"/>
      <c r="F107" s="12"/>
      <c r="G107" s="16" t="str">
        <f t="shared" si="3"/>
        <v>0 קיים, 0 בלאי, 0 חוסר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>
      <c r="A108" s="12"/>
      <c r="B108" s="12"/>
      <c r="C108" s="12"/>
      <c r="D108" s="12"/>
      <c r="E108" s="12"/>
      <c r="F108" s="12"/>
      <c r="G108" s="16" t="str">
        <f t="shared" si="3"/>
        <v>0 קיים, 0 בלאי, 0 חוסר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>
      <c r="A109" s="12"/>
      <c r="B109" s="12"/>
      <c r="C109" s="12"/>
      <c r="D109" s="12"/>
      <c r="E109" s="12"/>
      <c r="F109" s="12"/>
      <c r="G109" s="16" t="str">
        <f t="shared" si="3"/>
        <v>0 קיים, 0 בלאי, 0 חוסר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>
      <c r="A110" s="12"/>
      <c r="B110" s="12"/>
      <c r="C110" s="12"/>
      <c r="D110" s="12"/>
      <c r="E110" s="12"/>
      <c r="F110" s="12"/>
      <c r="G110" s="16" t="str">
        <f t="shared" si="3"/>
        <v>0 קיים, 0 בלאי, 0 חוסר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12"/>
      <c r="B111" s="12"/>
      <c r="C111" s="12"/>
      <c r="D111" s="12"/>
      <c r="E111" s="12"/>
      <c r="F111" s="12"/>
      <c r="G111" s="16" t="str">
        <f t="shared" si="3"/>
        <v>0 קיים, 0 בלאי, 0 חוסר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12"/>
      <c r="B112" s="12"/>
      <c r="C112" s="12"/>
      <c r="D112" s="12"/>
      <c r="E112" s="12"/>
      <c r="F112" s="12"/>
      <c r="G112" s="16" t="str">
        <f t="shared" si="3"/>
        <v>0 קיים, 0 בלאי, 0 חוסר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12"/>
      <c r="B113" s="12"/>
      <c r="C113" s="12"/>
      <c r="D113" s="12"/>
      <c r="E113" s="12"/>
      <c r="F113" s="12"/>
      <c r="G113" s="16" t="str">
        <f t="shared" si="3"/>
        <v>0 קיים, 0 בלאי, 0 חוסר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12"/>
      <c r="B114" s="12"/>
      <c r="C114" s="12"/>
      <c r="D114" s="12"/>
      <c r="E114" s="12"/>
      <c r="F114" s="12"/>
      <c r="G114" s="16" t="str">
        <f t="shared" si="3"/>
        <v>0 קיים, 0 בלאי, 0 חוסר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12"/>
      <c r="B115" s="12"/>
      <c r="C115" s="12"/>
      <c r="D115" s="12"/>
      <c r="E115" s="12"/>
      <c r="F115" s="12"/>
      <c r="G115" s="16" t="str">
        <f t="shared" si="3"/>
        <v>0 קיים, 0 בלאי, 0 חוסר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12"/>
      <c r="B116" s="12"/>
      <c r="C116" s="12"/>
      <c r="D116" s="12"/>
      <c r="E116" s="12"/>
      <c r="F116" s="12"/>
      <c r="G116" s="16" t="str">
        <f t="shared" si="3"/>
        <v>0 קיים, 0 בלאי, 0 חוסר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12"/>
      <c r="B117" s="12"/>
      <c r="C117" s="12"/>
      <c r="D117" s="12"/>
      <c r="E117" s="12"/>
      <c r="F117" s="12"/>
      <c r="G117" s="16" t="str">
        <f t="shared" si="3"/>
        <v>0 קיים, 0 בלאי, 0 חוסר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12"/>
      <c r="B118" s="12"/>
      <c r="C118" s="12"/>
      <c r="D118" s="12"/>
      <c r="E118" s="12"/>
      <c r="F118" s="12"/>
      <c r="G118" s="16" t="str">
        <f t="shared" si="3"/>
        <v>0 קיים, 0 בלאי, 0 חוסר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12"/>
      <c r="B119" s="12"/>
      <c r="C119" s="12"/>
      <c r="D119" s="12"/>
      <c r="E119" s="12"/>
      <c r="F119" s="12"/>
      <c r="G119" s="16" t="str">
        <f t="shared" si="3"/>
        <v>0 קיים, 0 בלאי, 0 חוסר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12"/>
      <c r="B120" s="12"/>
      <c r="C120" s="12"/>
      <c r="D120" s="12"/>
      <c r="E120" s="12"/>
      <c r="F120" s="12"/>
      <c r="G120" s="16" t="str">
        <f t="shared" si="3"/>
        <v>0 קיים, 0 בלאי, 0 חוסר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12"/>
      <c r="B121" s="12"/>
      <c r="C121" s="12"/>
      <c r="D121" s="12"/>
      <c r="E121" s="12"/>
      <c r="F121" s="12"/>
      <c r="G121" s="16" t="str">
        <f t="shared" si="3"/>
        <v>0 קיים, 0 בלאי, 0 חוסר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12"/>
      <c r="B122" s="12"/>
      <c r="C122" s="12"/>
      <c r="D122" s="12"/>
      <c r="E122" s="12"/>
      <c r="F122" s="12"/>
      <c r="G122" s="16" t="str">
        <f t="shared" si="3"/>
        <v>0 קיים, 0 בלאי, 0 חוסר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12"/>
      <c r="B123" s="12"/>
      <c r="C123" s="12"/>
      <c r="D123" s="12"/>
      <c r="E123" s="12"/>
      <c r="F123" s="12"/>
      <c r="G123" s="16" t="str">
        <f t="shared" si="3"/>
        <v>0 קיים, 0 בלאי, 0 חוסר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12"/>
      <c r="B124" s="12"/>
      <c r="C124" s="12"/>
      <c r="D124" s="12"/>
      <c r="E124" s="12"/>
      <c r="F124" s="12"/>
      <c r="G124" s="16" t="str">
        <f t="shared" si="3"/>
        <v>0 קיים, 0 בלאי, 0 חוסר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2"/>
      <c r="B125" s="12"/>
      <c r="C125" s="12"/>
      <c r="D125" s="12"/>
      <c r="E125" s="12"/>
      <c r="F125" s="12"/>
      <c r="G125" s="16" t="str">
        <f t="shared" si="3"/>
        <v>0 קיים, 0 בלאי, 0 חוסר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2"/>
      <c r="B126" s="12"/>
      <c r="C126" s="12"/>
      <c r="D126" s="12"/>
      <c r="E126" s="12"/>
      <c r="F126" s="12"/>
      <c r="G126" s="16" t="str">
        <f t="shared" si="3"/>
        <v>0 קיים, 0 בלאי, 0 חוסר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2"/>
      <c r="B127" s="12"/>
      <c r="C127" s="12"/>
      <c r="D127" s="12"/>
      <c r="E127" s="12"/>
      <c r="F127" s="12"/>
      <c r="G127" s="16" t="str">
        <f t="shared" si="3"/>
        <v>0 קיים, 0 בלאי, 0 חוסר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2"/>
      <c r="B128" s="12"/>
      <c r="C128" s="12"/>
      <c r="D128" s="12"/>
      <c r="E128" s="12"/>
      <c r="F128" s="12"/>
      <c r="G128" s="16" t="str">
        <f t="shared" si="3"/>
        <v>0 קיים, 0 בלאי, 0 חוסר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2"/>
      <c r="B129" s="12"/>
      <c r="C129" s="12"/>
      <c r="D129" s="12"/>
      <c r="E129" s="12"/>
      <c r="F129" s="12"/>
      <c r="G129" s="16" t="str">
        <f t="shared" si="3"/>
        <v>0 קיים, 0 בלאי, 0 חוסר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2"/>
      <c r="B130" s="12"/>
      <c r="C130" s="12"/>
      <c r="D130" s="12"/>
      <c r="E130" s="12"/>
      <c r="F130" s="12"/>
      <c r="G130" s="16" t="str">
        <f t="shared" si="3"/>
        <v>0 קיים, 0 בלאי, 0 חוסר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2"/>
      <c r="B131" s="12"/>
      <c r="C131" s="12"/>
      <c r="D131" s="12"/>
      <c r="E131" s="12"/>
      <c r="F131" s="12"/>
      <c r="G131" s="16" t="str">
        <f t="shared" si="3"/>
        <v>0 קיים, 0 בלאי, 0 חוסר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2"/>
      <c r="B132" s="12"/>
      <c r="C132" s="12"/>
      <c r="D132" s="12"/>
      <c r="E132" s="12"/>
      <c r="F132" s="12"/>
      <c r="G132" s="16" t="str">
        <f t="shared" si="3"/>
        <v>0 קיים, 0 בלאי, 0 חוסר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2"/>
      <c r="B133" s="12"/>
      <c r="C133" s="12"/>
      <c r="D133" s="12"/>
      <c r="E133" s="12"/>
      <c r="F133" s="12"/>
      <c r="G133" s="16" t="str">
        <f t="shared" si="3"/>
        <v>0 קיים, 0 בלאי, 0 חוסר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2"/>
      <c r="B134" s="12"/>
      <c r="C134" s="12"/>
      <c r="D134" s="12"/>
      <c r="E134" s="12"/>
      <c r="F134" s="12"/>
      <c r="G134" s="16" t="str">
        <f t="shared" si="3"/>
        <v>0 קיים, 0 בלאי, 0 חוסר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2"/>
      <c r="B135" s="12"/>
      <c r="C135" s="12"/>
      <c r="D135" s="12"/>
      <c r="E135" s="12"/>
      <c r="F135" s="12"/>
      <c r="G135" s="16" t="str">
        <f t="shared" si="3"/>
        <v>0 קיים, 0 בלאי, 0 חוסר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2"/>
      <c r="B136" s="12"/>
      <c r="C136" s="12"/>
      <c r="D136" s="12"/>
      <c r="E136" s="12"/>
      <c r="F136" s="12"/>
      <c r="G136" s="16" t="str">
        <f t="shared" si="3"/>
        <v>0 קיים, 0 בלאי, 0 חוסר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2"/>
      <c r="B137" s="12"/>
      <c r="C137" s="12"/>
      <c r="D137" s="12"/>
      <c r="E137" s="12"/>
      <c r="F137" s="12"/>
      <c r="G137" s="16" t="str">
        <f t="shared" si="3"/>
        <v>0 קיים, 0 בלאי, 0 חוסר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2"/>
      <c r="B138" s="12"/>
      <c r="C138" s="12"/>
      <c r="D138" s="12"/>
      <c r="E138" s="12"/>
      <c r="F138" s="12"/>
      <c r="G138" s="16" t="str">
        <f t="shared" si="3"/>
        <v>0 קיים, 0 בלאי, 0 חוסר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2"/>
      <c r="B139" s="12"/>
      <c r="C139" s="12"/>
      <c r="D139" s="12"/>
      <c r="E139" s="12"/>
      <c r="F139" s="12"/>
      <c r="G139" s="16" t="str">
        <f t="shared" si="3"/>
        <v>0 קיים, 0 בלאי, 0 חוסר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2"/>
      <c r="B140" s="12"/>
      <c r="C140" s="12"/>
      <c r="D140" s="12"/>
      <c r="E140" s="12"/>
      <c r="F140" s="12"/>
      <c r="G140" s="16" t="str">
        <f t="shared" si="3"/>
        <v>0 קיים, 0 בלאי, 0 חוסר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2"/>
      <c r="B141" s="12"/>
      <c r="C141" s="12"/>
      <c r="D141" s="12"/>
      <c r="E141" s="12"/>
      <c r="F141" s="12"/>
      <c r="G141" s="16" t="str">
        <f t="shared" si="3"/>
        <v>0 קיים, 0 בלאי, 0 חוסר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2"/>
      <c r="B142" s="12"/>
      <c r="C142" s="12"/>
      <c r="D142" s="12"/>
      <c r="E142" s="12"/>
      <c r="F142" s="12"/>
      <c r="G142" s="16" t="str">
        <f t="shared" si="3"/>
        <v>0 קיים, 0 בלאי, 0 חוסר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2"/>
      <c r="B143" s="12"/>
      <c r="C143" s="12"/>
      <c r="D143" s="12"/>
      <c r="E143" s="12"/>
      <c r="F143" s="12"/>
      <c r="G143" s="16" t="str">
        <f t="shared" si="3"/>
        <v>0 קיים, 0 בלאי, 0 חוסר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2"/>
      <c r="B144" s="12"/>
      <c r="C144" s="12"/>
      <c r="D144" s="12"/>
      <c r="E144" s="12"/>
      <c r="F144" s="12"/>
      <c r="G144" s="16" t="str">
        <f t="shared" si="3"/>
        <v>0 קיים, 0 בלאי, 0 חוסר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2"/>
      <c r="B145" s="12"/>
      <c r="C145" s="12"/>
      <c r="D145" s="12"/>
      <c r="E145" s="12"/>
      <c r="F145" s="12"/>
      <c r="G145" s="16" t="str">
        <f t="shared" si="3"/>
        <v>0 קיים, 0 בלאי, 0 חוסר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2"/>
      <c r="B146" s="12"/>
      <c r="C146" s="12"/>
      <c r="D146" s="12"/>
      <c r="E146" s="12"/>
      <c r="F146" s="12"/>
      <c r="G146" s="16" t="str">
        <f t="shared" si="3"/>
        <v>0 קיים, 0 בלאי, 0 חוסר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2"/>
      <c r="B147" s="12"/>
      <c r="C147" s="12"/>
      <c r="D147" s="12"/>
      <c r="E147" s="12"/>
      <c r="F147" s="12"/>
      <c r="G147" s="16" t="str">
        <f t="shared" si="3"/>
        <v>0 קיים, 0 בלאי, 0 חוסר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2"/>
      <c r="B148" s="12"/>
      <c r="C148" s="12"/>
      <c r="D148" s="12"/>
      <c r="E148" s="12"/>
      <c r="F148" s="12"/>
      <c r="G148" s="16" t="str">
        <f t="shared" si="3"/>
        <v>0 קיים, 0 בלאי, 0 חוסר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2"/>
      <c r="B149" s="12"/>
      <c r="C149" s="12"/>
      <c r="D149" s="12"/>
      <c r="E149" s="12"/>
      <c r="F149" s="12"/>
      <c r="G149" s="16" t="str">
        <f t="shared" si="3"/>
        <v>0 קיים, 0 בלאי, 0 חוסר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2"/>
      <c r="B150" s="12"/>
      <c r="C150" s="12"/>
      <c r="D150" s="12"/>
      <c r="E150" s="12"/>
      <c r="F150" s="12"/>
      <c r="G150" s="16" t="str">
        <f t="shared" si="3"/>
        <v>0 קיים, 0 בלאי, 0 חוסר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2"/>
      <c r="B151" s="12"/>
      <c r="C151" s="12"/>
      <c r="D151" s="12"/>
      <c r="E151" s="12"/>
      <c r="F151" s="12"/>
      <c r="G151" s="16" t="str">
        <f t="shared" si="3"/>
        <v>0 קיים, 0 בלאי, 0 חוסר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2"/>
      <c r="B152" s="12"/>
      <c r="C152" s="12"/>
      <c r="D152" s="12"/>
      <c r="E152" s="12"/>
      <c r="F152" s="12"/>
      <c r="G152" s="16" t="str">
        <f t="shared" si="3"/>
        <v>0 קיים, 0 בלאי, 0 חוסר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2"/>
      <c r="B153" s="12"/>
      <c r="C153" s="12"/>
      <c r="D153" s="12"/>
      <c r="E153" s="12"/>
      <c r="F153" s="12"/>
      <c r="G153" s="16" t="str">
        <f t="shared" si="3"/>
        <v>0 קיים, 0 בלאי, 0 חוסר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2"/>
      <c r="B154" s="12"/>
      <c r="C154" s="12"/>
      <c r="D154" s="12"/>
      <c r="E154" s="12"/>
      <c r="F154" s="12"/>
      <c r="G154" s="16" t="str">
        <f t="shared" si="3"/>
        <v>0 קיים, 0 בלאי, 0 חוסר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2"/>
      <c r="B155" s="12"/>
      <c r="C155" s="12"/>
      <c r="D155" s="12"/>
      <c r="E155" s="12"/>
      <c r="F155" s="12"/>
      <c r="G155" s="16" t="str">
        <f t="shared" si="3"/>
        <v>0 קיים, 0 בלאי, 0 חוסר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2"/>
      <c r="B156" s="12"/>
      <c r="C156" s="12"/>
      <c r="D156" s="12"/>
      <c r="E156" s="12"/>
      <c r="F156" s="12"/>
      <c r="G156" s="16" t="str">
        <f t="shared" si="3"/>
        <v>0 קיים, 0 בלאי, 0 חוסר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2"/>
      <c r="B157" s="12"/>
      <c r="C157" s="12"/>
      <c r="D157" s="12"/>
      <c r="E157" s="12"/>
      <c r="F157" s="12"/>
      <c r="G157" s="16" t="str">
        <f t="shared" si="3"/>
        <v>0 קיים, 0 בלאי, 0 חוסר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2"/>
      <c r="B158" s="12"/>
      <c r="C158" s="12"/>
      <c r="D158" s="12"/>
      <c r="E158" s="12"/>
      <c r="F158" s="12"/>
      <c r="G158" s="16" t="str">
        <f t="shared" si="3"/>
        <v>0 קיים, 0 בלאי, 0 חוסר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2"/>
      <c r="B159" s="12"/>
      <c r="C159" s="12"/>
      <c r="D159" s="12"/>
      <c r="E159" s="12"/>
      <c r="F159" s="12"/>
      <c r="G159" s="16" t="str">
        <f t="shared" si="3"/>
        <v>0 קיים, 0 בלאי, 0 חוסר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</sheetData>
  <mergeCells count="16">
    <mergeCell ref="H72:J72"/>
    <mergeCell ref="K72:M72"/>
    <mergeCell ref="N72:P72"/>
    <mergeCell ref="Q72:S72"/>
    <mergeCell ref="T72:V72"/>
    <mergeCell ref="W72:Y72"/>
    <mergeCell ref="Z72:AB72"/>
    <mergeCell ref="AC72:AE72"/>
    <mergeCell ref="AF72:AH72"/>
    <mergeCell ref="P1:Z1"/>
    <mergeCell ref="P18:Z18"/>
    <mergeCell ref="P26:Z26"/>
    <mergeCell ref="P36:S36"/>
    <mergeCell ref="W36:Y36"/>
    <mergeCell ref="B72:D72"/>
    <mergeCell ref="E72:G72"/>
  </mergeCells>
  <dataValidations>
    <dataValidation type="list" allowBlank="1" showErrorMessage="1" sqref="C13:J13">
      <formula1>"קיים,1 בלאי,2 בלאי, 1 חוסר,2 חוסר"</formula1>
    </dataValidation>
    <dataValidation type="list" allowBlank="1" showErrorMessage="1" sqref="C3:J12 C14:J68">
      <formula1>"קיים,בלאי,חוסר"</formula1>
    </dataValidation>
  </dataValidations>
  <drawing r:id="rId1"/>
  <tableParts count="1">
    <tablePart r:id="rId3"/>
  </tableParts>
</worksheet>
</file>