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בוע 3" sheetId="1" r:id="rId5"/>
    <sheet state="visible" name="שבוע 2" sheetId="2" r:id="rId6"/>
    <sheet state="visible" name="שבוע 1" sheetId="3" r:id="rId7"/>
    <sheet state="hidden" name="עותק של שבוע 1" sheetId="4" r:id="rId8"/>
  </sheets>
  <definedNames/>
  <calcPr/>
</workbook>
</file>

<file path=xl/sharedStrings.xml><?xml version="1.0" encoding="utf-8"?>
<sst xmlns="http://schemas.openxmlformats.org/spreadsheetml/2006/main" count="4217" uniqueCount="171">
  <si>
    <t xml:space="preserve">דוח זיווד </t>
  </si>
  <si>
    <t>תחמושת</t>
  </si>
  <si>
    <t>הפריט</t>
  </si>
  <si>
    <t>סה"כ תקין</t>
  </si>
  <si>
    <t>סה"כ בלאי</t>
  </si>
  <si>
    <t>סה"כ חוסר</t>
  </si>
  <si>
    <t>צ'433</t>
  </si>
  <si>
    <t>צ'346</t>
  </si>
  <si>
    <t>צ'411</t>
  </si>
  <si>
    <t>צ'680</t>
  </si>
  <si>
    <t>צ'673</t>
  </si>
  <si>
    <t>צ'629</t>
  </si>
  <si>
    <t>צ'415</t>
  </si>
  <si>
    <t>צ'625</t>
  </si>
  <si>
    <t>צ'655</t>
  </si>
  <si>
    <t>צ'686</t>
  </si>
  <si>
    <t>צ'441</t>
  </si>
  <si>
    <t>תקן</t>
  </si>
  <si>
    <t>סהכ פלוגתי</t>
  </si>
  <si>
    <t>חבל פריסה</t>
  </si>
  <si>
    <t>קיים</t>
  </si>
  <si>
    <t>קיים 2</t>
  </si>
  <si>
    <t>מאג</t>
  </si>
  <si>
    <t>פטיש 5</t>
  </si>
  <si>
    <t>בלאי</t>
  </si>
  <si>
    <t>ראשוני</t>
  </si>
  <si>
    <t>חלול</t>
  </si>
  <si>
    <t>איציק</t>
  </si>
  <si>
    <t>חוסר</t>
  </si>
  <si>
    <t>חצב</t>
  </si>
  <si>
    <t>לום</t>
  </si>
  <si>
    <t xml:space="preserve">כלנית </t>
  </si>
  <si>
    <t>מאריך חש"ן</t>
  </si>
  <si>
    <t>חץ</t>
  </si>
  <si>
    <t>בייבי קוני</t>
  </si>
  <si>
    <t>רימון רסס</t>
  </si>
  <si>
    <t>משלק</t>
  </si>
  <si>
    <t>רימון עשן</t>
  </si>
  <si>
    <t>פטיש קילו</t>
  </si>
  <si>
    <t>מרגמה 60 נפיץ</t>
  </si>
  <si>
    <t>מפתח Y</t>
  </si>
  <si>
    <t>מרגמה 60 תאורה</t>
  </si>
  <si>
    <t>מפתח פלטות 1</t>
  </si>
  <si>
    <t>מפתח פלטות 2</t>
  </si>
  <si>
    <t>מעיל רוח</t>
  </si>
  <si>
    <t>בוקסה 1\5\16</t>
  </si>
  <si>
    <t>מטען ניתוק זחל</t>
  </si>
  <si>
    <t>ידית כוח חצי</t>
  </si>
  <si>
    <t>נונל</t>
  </si>
  <si>
    <t>ידית כוח 3\4</t>
  </si>
  <si>
    <t>מחט ירי</t>
  </si>
  <si>
    <t>אלונקה</t>
  </si>
  <si>
    <t>דוח אמצעים</t>
  </si>
  <si>
    <t>מקל חוטר 1</t>
  </si>
  <si>
    <t>מקל חוטר 2</t>
  </si>
  <si>
    <t>מקל חוטר 3</t>
  </si>
  <si>
    <t>מקל חוטר 4</t>
  </si>
  <si>
    <t>מקל חוטר 5</t>
  </si>
  <si>
    <t>מקל חוטר 6</t>
  </si>
  <si>
    <t>מקל חוטר 7</t>
  </si>
  <si>
    <t>מקל חוטר 8</t>
  </si>
  <si>
    <t>מקל חוטר 9</t>
  </si>
  <si>
    <t>מפתח כליר</t>
  </si>
  <si>
    <t>שרשרת גרירה</t>
  </si>
  <si>
    <t>תיק כלי עבודה</t>
  </si>
  <si>
    <t>שאקל 25</t>
  </si>
  <si>
    <t>בוקסה 1 1\2</t>
  </si>
  <si>
    <t>שאקל קרנף</t>
  </si>
  <si>
    <t>בוקסה 9\16</t>
  </si>
  <si>
    <t>שאקל 5</t>
  </si>
  <si>
    <t>מאריך ארוך 1\2</t>
  </si>
  <si>
    <t>סט שיני חזיר\נג"ח</t>
  </si>
  <si>
    <t>מאריך קצר 1\2</t>
  </si>
  <si>
    <t>מאריך ארוך 3\4</t>
  </si>
  <si>
    <t>דוח ציוד קשר</t>
  </si>
  <si>
    <t>מאריך קצר 3\4</t>
  </si>
  <si>
    <t>מפרק חצי</t>
  </si>
  <si>
    <t>מקמש</t>
  </si>
  <si>
    <t>גריקן 20 ליטר</t>
  </si>
  <si>
    <t>גנטקס</t>
  </si>
  <si>
    <t>פוט שוש</t>
  </si>
  <si>
    <t>פתיל</t>
  </si>
  <si>
    <t>גבקה</t>
  </si>
  <si>
    <t>מעד</t>
  </si>
  <si>
    <t>פטיש עיסית</t>
  </si>
  <si>
    <t>מיק חירום</t>
  </si>
  <si>
    <t>אלונקת מעוז</t>
  </si>
  <si>
    <t>רמק</t>
  </si>
  <si>
    <t>ראצר סדן</t>
  </si>
  <si>
    <t>בורג עין</t>
  </si>
  <si>
    <t>פיסת אבטחה</t>
  </si>
  <si>
    <t>דוח צלם- נוספים</t>
  </si>
  <si>
    <t>דוח סמים</t>
  </si>
  <si>
    <t>בוחן מעגלי ירי</t>
  </si>
  <si>
    <t>הצלם</t>
  </si>
  <si>
    <t>צ'</t>
  </si>
  <si>
    <t>מיקום</t>
  </si>
  <si>
    <t>תקין\פירוט התקלה</t>
  </si>
  <si>
    <t>האמצעי</t>
  </si>
  <si>
    <t>תוקף</t>
  </si>
  <si>
    <t>פודל</t>
  </si>
  <si>
    <t>מ.ק</t>
  </si>
  <si>
    <t xml:space="preserve"> ברנר (מטאור 2)</t>
  </si>
  <si>
    <t>תקין</t>
  </si>
  <si>
    <t>אקטיק 01</t>
  </si>
  <si>
    <t>חופ"ל</t>
  </si>
  <si>
    <t>פליז</t>
  </si>
  <si>
    <t>דן אליאב (מטאור 2)</t>
  </si>
  <si>
    <t>אקטיק 02</t>
  </si>
  <si>
    <t>נגח חולץ</t>
  </si>
  <si>
    <t>ארז(מטאור2)</t>
  </si>
  <si>
    <t>גביע חליצה</t>
  </si>
  <si>
    <t>מפל"ג (מטאור2)</t>
  </si>
  <si>
    <t>כבל הנעה</t>
  </si>
  <si>
    <t>מאופסן</t>
  </si>
  <si>
    <t>מד מומנט</t>
  </si>
  <si>
    <t>בוכריס (מטאור 1)</t>
  </si>
  <si>
    <t>זרקור עזר</t>
  </si>
  <si>
    <t>אבטה</t>
  </si>
  <si>
    <t>צ4653</t>
  </si>
  <si>
    <t>מברג קנ"ר</t>
  </si>
  <si>
    <t>צ3191</t>
  </si>
  <si>
    <t>גק ערבי</t>
  </si>
  <si>
    <t>צ2544</t>
  </si>
  <si>
    <t>שוש אייל</t>
  </si>
  <si>
    <t>נפל</t>
  </si>
  <si>
    <t>את חפירה</t>
  </si>
  <si>
    <t>מגרזת</t>
  </si>
  <si>
    <t>עצר לטנק</t>
  </si>
  <si>
    <t>מפתח כיס</t>
  </si>
  <si>
    <t>כיסוי תותח</t>
  </si>
  <si>
    <t>פנל זיהוי רק"מ</t>
  </si>
  <si>
    <t>קרינור</t>
  </si>
  <si>
    <t>משמנת</t>
  </si>
  <si>
    <t>כפפות אסבסט</t>
  </si>
  <si>
    <t>פלייר</t>
  </si>
  <si>
    <t>כיסוי מאג</t>
  </si>
  <si>
    <t>כיסוי 05</t>
  </si>
  <si>
    <t>מברשת בית בליעה</t>
  </si>
  <si>
    <t>ידית T</t>
  </si>
  <si>
    <t>ראצר 3\4</t>
  </si>
  <si>
    <t>ראצר חצי</t>
  </si>
  <si>
    <t>איזמל</t>
  </si>
  <si>
    <t>מברשת 4</t>
  </si>
  <si>
    <t>שפכטל</t>
  </si>
  <si>
    <t>מגזרי תיל</t>
  </si>
  <si>
    <t>מפתח שוודי</t>
  </si>
  <si>
    <t>מאג 1</t>
  </si>
  <si>
    <t>מטאור 2</t>
  </si>
  <si>
    <t xml:space="preserve"> מטאור 1</t>
  </si>
  <si>
    <t>מטאור 1</t>
  </si>
  <si>
    <t>מאג 2</t>
  </si>
  <si>
    <t>טנק</t>
  </si>
  <si>
    <t>מקלע 05</t>
  </si>
  <si>
    <t>אצל עזיז</t>
  </si>
  <si>
    <t>אמרל</t>
  </si>
  <si>
    <t>משקפת</t>
  </si>
  <si>
    <t xml:space="preserve">קיים </t>
  </si>
  <si>
    <t>מצפן</t>
  </si>
  <si>
    <t xml:space="preserve">טנק </t>
  </si>
  <si>
    <t>אולר</t>
  </si>
  <si>
    <t>בורוסייט</t>
  </si>
  <si>
    <t>חסר</t>
  </si>
  <si>
    <t>NFC</t>
  </si>
  <si>
    <t>מדיה\נר לילה</t>
  </si>
  <si>
    <t xml:space="preserve">2מפתח פלטות </t>
  </si>
  <si>
    <t xml:space="preserve"> 1 חוסר</t>
  </si>
  <si>
    <t>9מקלות חוטר</t>
  </si>
  <si>
    <t>1 בלאי</t>
  </si>
  <si>
    <t>4 בלאי</t>
  </si>
  <si>
    <t>2 בלאי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</si>
</sst>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1.0"/>
      <color rgb="FF202124"/>
      <name val="Arial"/>
    </font>
    <font>
      <color theme="1"/>
      <name val="Arial"/>
    </font>
    <font>
      <color rgb="FF000000"/>
      <name val="Arial"/>
    </font>
    <font>
      <b/>
      <sz val="11.0"/>
      <color theme="1"/>
      <name val="Arial"/>
      <scheme val="minor"/>
    </font>
    <font>
      <b/>
      <color theme="1"/>
      <name val="Arial"/>
    </font>
    <font>
      <b/>
      <sz val="10.0"/>
      <color rgb="FF202124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2" fillId="0" fontId="2" numFmtId="0" xfId="0" applyBorder="1" applyFont="1"/>
    <xf borderId="4" fillId="0" fontId="2" numFmtId="0" xfId="0" applyBorder="1" applyFont="1"/>
    <xf borderId="5" fillId="3" fontId="1" numFmtId="0" xfId="0" applyAlignment="1" applyBorder="1" applyFill="1" applyFont="1">
      <alignment readingOrder="0"/>
    </xf>
    <xf borderId="5" fillId="3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0" fillId="3" fontId="1" numFmtId="0" xfId="0" applyAlignment="1" applyFont="1">
      <alignment horizontal="center" readingOrder="0"/>
    </xf>
    <xf borderId="5" fillId="0" fontId="3" numFmtId="0" xfId="0" applyBorder="1" applyFont="1"/>
    <xf borderId="5" fillId="4" fontId="4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center"/>
    </xf>
    <xf borderId="5" fillId="5" fontId="5" numFmtId="0" xfId="0" applyAlignment="1" applyBorder="1" applyFill="1" applyFont="1">
      <alignment horizontal="center" readingOrder="0" vertical="bottom"/>
    </xf>
    <xf borderId="5" fillId="5" fontId="6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center"/>
    </xf>
    <xf borderId="5" fillId="0" fontId="1" numFmtId="0" xfId="0" applyAlignment="1" applyBorder="1" applyFont="1">
      <alignment horizontal="center" readingOrder="0"/>
    </xf>
    <xf borderId="5" fillId="0" fontId="3" numFmtId="0" xfId="0" applyAlignment="1" applyBorder="1" applyFont="1">
      <alignment readingOrder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 vertical="bottom"/>
    </xf>
    <xf borderId="5" fillId="4" fontId="7" numFmtId="0" xfId="0" applyAlignment="1" applyBorder="1" applyFont="1">
      <alignment readingOrder="0"/>
    </xf>
    <xf borderId="5" fillId="6" fontId="1" numFmtId="0" xfId="0" applyAlignment="1" applyBorder="1" applyFill="1" applyFont="1">
      <alignment horizontal="center" readingOrder="0"/>
    </xf>
    <xf borderId="5" fillId="7" fontId="4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2" fontId="8" numFmtId="0" xfId="0" applyAlignment="1" applyBorder="1" applyFont="1">
      <alignment horizontal="center" readingOrder="0" shrinkToFit="0" wrapText="1"/>
    </xf>
    <xf borderId="5" fillId="0" fontId="5" numFmtId="0" xfId="0" applyBorder="1" applyFont="1"/>
    <xf borderId="5" fillId="7" fontId="9" numFmtId="0" xfId="0" applyAlignment="1" applyBorder="1" applyFont="1">
      <alignment horizontal="center" readingOrder="0" shrinkToFit="0" wrapText="0"/>
    </xf>
    <xf borderId="0" fillId="7" fontId="9" numFmtId="0" xfId="0" applyAlignment="1" applyFont="1">
      <alignment horizontal="center" readingOrder="0" shrinkToFit="0" wrapText="0"/>
    </xf>
    <xf borderId="5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/>
    </xf>
    <xf borderId="5" fillId="0" fontId="3" numFmtId="164" xfId="0" applyAlignment="1" applyBorder="1" applyFont="1" applyNumberFormat="1">
      <alignment horizontal="center" readingOrder="0"/>
    </xf>
    <xf borderId="5" fillId="7" fontId="4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center" readingOrder="0"/>
    </xf>
    <xf borderId="6" fillId="0" fontId="2" numFmtId="0" xfId="0" applyBorder="1" applyFont="1"/>
    <xf borderId="7" fillId="2" fontId="1" numFmtId="0" xfId="0" applyAlignment="1" applyBorder="1" applyFont="1">
      <alignment horizontal="center" readingOrder="0"/>
    </xf>
    <xf borderId="8" fillId="6" fontId="1" numFmtId="0" xfId="0" applyAlignment="1" applyBorder="1" applyFont="1">
      <alignment horizontal="center" readingOrder="0"/>
    </xf>
    <xf borderId="4" fillId="6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readingOrder="0"/>
    </xf>
    <xf borderId="9" fillId="6" fontId="1" numFmtId="0" xfId="0" applyAlignment="1" applyBorder="1" applyFont="1">
      <alignment horizontal="center" readingOrder="0"/>
    </xf>
    <xf borderId="8" fillId="0" fontId="3" numFmtId="0" xfId="0" applyBorder="1" applyFont="1"/>
    <xf borderId="4" fillId="0" fontId="3" numFmtId="0" xfId="0" applyAlignment="1" applyBorder="1" applyFont="1">
      <alignment readingOrder="0"/>
    </xf>
    <xf borderId="1" fillId="0" fontId="3" numFmtId="0" xfId="0" applyBorder="1" applyFont="1"/>
    <xf borderId="9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9" fillId="0" fontId="3" numFmtId="0" xfId="0" applyBorder="1" applyFont="1"/>
    <xf borderId="9" fillId="0" fontId="3" numFmtId="0" xfId="0" applyAlignment="1" applyBorder="1" applyFont="1">
      <alignment readingOrder="0"/>
    </xf>
    <xf borderId="4" fillId="2" fontId="1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lef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4">
    <tableStyle count="3" pivot="0" name="שבוע 3-style">
      <tableStyleElement dxfId="1" type="headerRow"/>
      <tableStyleElement dxfId="2" type="firstRowStripe"/>
      <tableStyleElement dxfId="3" type="secondRowStripe"/>
    </tableStyle>
    <tableStyle count="3" pivot="0" name="שבוע 2-style">
      <tableStyleElement dxfId="1" type="headerRow"/>
      <tableStyleElement dxfId="2" type="firstRowStripe"/>
      <tableStyleElement dxfId="3" type="secondRowStripe"/>
    </tableStyle>
    <tableStyle count="3" pivot="0" name="שבוע 1-style">
      <tableStyleElement dxfId="1" type="headerRow"/>
      <tableStyleElement dxfId="2" type="firstRowStripe"/>
      <tableStyleElement dxfId="3" type="secondRowStripe"/>
    </tableStyle>
    <tableStyle count="3" pivot="0" name="עותק של שבוע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E3:F5" displayName="Table_1" name="Table_1" id="1">
  <tableColumns count="2">
    <tableColumn name="קיים" id="1"/>
    <tableColumn name="קיים 2" id="2"/>
  </tableColumns>
  <tableStyleInfo name="שבוע 3-style" showColumnStripes="0" showFirstColumn="1" showLastColumn="1" showRowStripes="1"/>
</table>
</file>

<file path=xl/tables/table2.xml><?xml version="1.0" encoding="utf-8"?>
<table xmlns="http://schemas.openxmlformats.org/spreadsheetml/2006/main" ref="C3:D5" displayName="Table_2" name="Table_2" id="2">
  <tableColumns count="2">
    <tableColumn name="קיים" id="1"/>
    <tableColumn name="קיים 2" id="2"/>
  </tableColumns>
  <tableStyleInfo name="שבוע 2-style" showColumnStripes="0" showFirstColumn="1" showLastColumn="1" showRowStripes="1"/>
</table>
</file>

<file path=xl/tables/table3.xml><?xml version="1.0" encoding="utf-8"?>
<table xmlns="http://schemas.openxmlformats.org/spreadsheetml/2006/main" ref="C3:D5" displayName="Table_3" name="Table_3" id="3">
  <tableColumns count="2">
    <tableColumn name="קיים" id="1"/>
    <tableColumn name="קיים 2" id="2"/>
  </tableColumns>
  <tableStyleInfo name="שבוע 1-style" showColumnStripes="0" showFirstColumn="1" showLastColumn="1" showRowStripes="1"/>
</table>
</file>

<file path=xl/tables/table4.xml><?xml version="1.0" encoding="utf-8"?>
<table xmlns="http://schemas.openxmlformats.org/spreadsheetml/2006/main" ref="C3:D5" displayName="Table_4" name="Table_4" id="4">
  <tableColumns count="2">
    <tableColumn name="קיים" id="1"/>
    <tableColumn name="קיים 2" id="2"/>
  </tableColumns>
  <tableStyleInfo name="עותק של שבוע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0.38"/>
    <col customWidth="1" min="4" max="4" width="13.25"/>
    <col customWidth="1" min="13" max="13" width="11.13"/>
    <col customWidth="1" min="14" max="14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R1" s="4" t="s">
        <v>1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/>
    </row>
    <row r="2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9" t="s">
        <v>16</v>
      </c>
      <c r="P2" s="10"/>
      <c r="R2" s="11"/>
      <c r="S2" s="8" t="s">
        <v>17</v>
      </c>
      <c r="T2" s="8" t="s">
        <v>6</v>
      </c>
      <c r="U2" s="8" t="s">
        <v>7</v>
      </c>
      <c r="V2" s="8" t="s">
        <v>8</v>
      </c>
      <c r="W2" s="8" t="s">
        <v>9</v>
      </c>
      <c r="X2" s="8" t="s">
        <v>10</v>
      </c>
      <c r="Y2" s="8" t="s">
        <v>11</v>
      </c>
      <c r="Z2" s="8" t="s">
        <v>12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18</v>
      </c>
    </row>
    <row r="3">
      <c r="A3" s="12" t="s">
        <v>19</v>
      </c>
      <c r="B3" s="13">
        <f t="shared" ref="B3:B77" si="1">COUNTIF(E3:O3, "קיים")</f>
        <v>11</v>
      </c>
      <c r="C3" s="13">
        <f t="shared" ref="C3:C77" si="2">COUNTIF(E3:O3, "בלאי")</f>
        <v>0</v>
      </c>
      <c r="D3" s="13">
        <f t="shared" ref="D3:D77" si="3">COUNTIF(E3:O3, "חוסר")</f>
        <v>0</v>
      </c>
      <c r="E3" s="14" t="s">
        <v>20</v>
      </c>
      <c r="F3" s="15" t="s">
        <v>21</v>
      </c>
      <c r="G3" s="16" t="s">
        <v>20</v>
      </c>
      <c r="H3" s="16" t="s">
        <v>20</v>
      </c>
      <c r="I3" s="16" t="s">
        <v>20</v>
      </c>
      <c r="J3" s="16" t="s">
        <v>20</v>
      </c>
      <c r="K3" s="16" t="s">
        <v>20</v>
      </c>
      <c r="L3" s="16" t="s">
        <v>20</v>
      </c>
      <c r="M3" s="16" t="s">
        <v>20</v>
      </c>
      <c r="N3" s="16" t="s">
        <v>20</v>
      </c>
      <c r="O3" s="17" t="s">
        <v>20</v>
      </c>
      <c r="P3" s="18"/>
      <c r="R3" s="19" t="s">
        <v>22</v>
      </c>
      <c r="S3" s="20">
        <v>36.0</v>
      </c>
      <c r="T3" s="21">
        <v>37.0</v>
      </c>
      <c r="U3" s="21">
        <v>49.0</v>
      </c>
      <c r="V3" s="21">
        <v>41.0</v>
      </c>
      <c r="W3" s="21">
        <v>35.0</v>
      </c>
      <c r="X3" s="21">
        <v>0.0</v>
      </c>
      <c r="Y3" s="21">
        <v>41.0</v>
      </c>
      <c r="Z3" s="21">
        <v>30.0</v>
      </c>
      <c r="AA3" s="21">
        <v>38.0</v>
      </c>
      <c r="AB3" s="21">
        <v>42.0</v>
      </c>
      <c r="AC3" s="21">
        <v>40.0</v>
      </c>
      <c r="AD3" s="21">
        <v>0.0</v>
      </c>
      <c r="AE3" s="21">
        <f t="shared" ref="AE3:AE8" si="4">SUM(T3:AD3)</f>
        <v>353</v>
      </c>
    </row>
    <row r="4">
      <c r="A4" s="12" t="s">
        <v>23</v>
      </c>
      <c r="B4" s="13">
        <f t="shared" si="1"/>
        <v>9</v>
      </c>
      <c r="C4" s="13">
        <f t="shared" si="2"/>
        <v>2</v>
      </c>
      <c r="D4" s="13">
        <f t="shared" si="3"/>
        <v>0</v>
      </c>
      <c r="E4" s="22" t="s">
        <v>20</v>
      </c>
      <c r="F4" s="22" t="s">
        <v>24</v>
      </c>
      <c r="G4" s="16" t="s">
        <v>20</v>
      </c>
      <c r="H4" s="16" t="s">
        <v>24</v>
      </c>
      <c r="I4" s="16" t="s">
        <v>20</v>
      </c>
      <c r="J4" s="16" t="s">
        <v>20</v>
      </c>
      <c r="K4" s="16" t="s">
        <v>20</v>
      </c>
      <c r="L4" s="16" t="s">
        <v>20</v>
      </c>
      <c r="M4" s="16" t="s">
        <v>20</v>
      </c>
      <c r="N4" s="16" t="s">
        <v>20</v>
      </c>
      <c r="O4" s="23" t="s">
        <v>20</v>
      </c>
      <c r="P4" s="18"/>
      <c r="R4" s="24">
        <v>0.5</v>
      </c>
      <c r="S4" s="20">
        <v>2.0</v>
      </c>
      <c r="T4" s="21">
        <v>0.0</v>
      </c>
      <c r="U4" s="21">
        <v>2.0</v>
      </c>
      <c r="V4" s="21">
        <v>0.0</v>
      </c>
      <c r="W4" s="21">
        <v>1.0</v>
      </c>
      <c r="X4" s="21">
        <v>0.0</v>
      </c>
      <c r="Y4" s="21">
        <v>1.0</v>
      </c>
      <c r="Z4" s="21">
        <v>0.0</v>
      </c>
      <c r="AA4" s="21">
        <v>1.0</v>
      </c>
      <c r="AB4" s="21">
        <v>1.0</v>
      </c>
      <c r="AC4" s="21">
        <v>2.0</v>
      </c>
      <c r="AD4" s="21">
        <v>1.0</v>
      </c>
      <c r="AE4" s="21">
        <f t="shared" si="4"/>
        <v>9</v>
      </c>
    </row>
    <row r="5">
      <c r="A5" s="12" t="s">
        <v>25</v>
      </c>
      <c r="B5" s="13">
        <f t="shared" si="1"/>
        <v>7</v>
      </c>
      <c r="C5" s="13">
        <f t="shared" si="2"/>
        <v>4</v>
      </c>
      <c r="D5" s="13">
        <f t="shared" si="3"/>
        <v>0</v>
      </c>
      <c r="E5" s="22" t="s">
        <v>24</v>
      </c>
      <c r="F5" s="22" t="s">
        <v>24</v>
      </c>
      <c r="G5" s="16" t="s">
        <v>20</v>
      </c>
      <c r="H5" s="16" t="s">
        <v>20</v>
      </c>
      <c r="I5" s="16" t="s">
        <v>20</v>
      </c>
      <c r="J5" s="16" t="s">
        <v>24</v>
      </c>
      <c r="K5" s="16" t="s">
        <v>20</v>
      </c>
      <c r="L5" s="16" t="s">
        <v>20</v>
      </c>
      <c r="M5" s="16" t="s">
        <v>20</v>
      </c>
      <c r="N5" s="16" t="s">
        <v>24</v>
      </c>
      <c r="O5" s="23" t="s">
        <v>20</v>
      </c>
      <c r="P5" s="18"/>
      <c r="R5" s="19" t="s">
        <v>26</v>
      </c>
      <c r="S5" s="20">
        <v>10.0</v>
      </c>
      <c r="T5" s="21">
        <v>8.0</v>
      </c>
      <c r="U5" s="21">
        <v>10.0</v>
      </c>
      <c r="V5" s="21">
        <v>9.0</v>
      </c>
      <c r="W5" s="21">
        <v>3.0</v>
      </c>
      <c r="X5" s="21">
        <v>0.0</v>
      </c>
      <c r="Y5" s="21">
        <v>7.0</v>
      </c>
      <c r="Z5" s="21">
        <v>8.0</v>
      </c>
      <c r="AA5" s="21">
        <v>6.0</v>
      </c>
      <c r="AB5" s="21">
        <v>5.0</v>
      </c>
      <c r="AC5" s="21">
        <v>6.0</v>
      </c>
      <c r="AD5" s="21">
        <v>5.0</v>
      </c>
      <c r="AE5" s="21">
        <f t="shared" si="4"/>
        <v>67</v>
      </c>
    </row>
    <row r="6">
      <c r="A6" s="12" t="s">
        <v>27</v>
      </c>
      <c r="B6" s="13">
        <f t="shared" si="1"/>
        <v>7</v>
      </c>
      <c r="C6" s="13">
        <f t="shared" si="2"/>
        <v>3</v>
      </c>
      <c r="D6" s="13">
        <f t="shared" si="3"/>
        <v>1</v>
      </c>
      <c r="E6" s="16" t="s">
        <v>24</v>
      </c>
      <c r="F6" s="16" t="s">
        <v>20</v>
      </c>
      <c r="G6" s="16" t="s">
        <v>20</v>
      </c>
      <c r="H6" s="16" t="s">
        <v>24</v>
      </c>
      <c r="I6" s="16" t="s">
        <v>20</v>
      </c>
      <c r="J6" s="16" t="s">
        <v>28</v>
      </c>
      <c r="K6" s="16" t="s">
        <v>20</v>
      </c>
      <c r="L6" s="16" t="s">
        <v>20</v>
      </c>
      <c r="M6" s="16" t="s">
        <v>20</v>
      </c>
      <c r="N6" s="16" t="s">
        <v>24</v>
      </c>
      <c r="O6" s="23" t="s">
        <v>20</v>
      </c>
      <c r="P6" s="18"/>
      <c r="R6" s="19" t="s">
        <v>29</v>
      </c>
      <c r="S6" s="20">
        <v>17.0</v>
      </c>
      <c r="T6" s="21">
        <v>24.0</v>
      </c>
      <c r="U6" s="21">
        <v>17.0</v>
      </c>
      <c r="V6" s="21">
        <v>21.0</v>
      </c>
      <c r="W6" s="21">
        <v>31.0</v>
      </c>
      <c r="X6" s="25">
        <v>0.0</v>
      </c>
      <c r="Y6" s="21">
        <v>22.0</v>
      </c>
      <c r="Z6" s="21">
        <v>26.0</v>
      </c>
      <c r="AA6" s="21">
        <v>24.0</v>
      </c>
      <c r="AB6" s="21">
        <v>19.0</v>
      </c>
      <c r="AC6" s="21">
        <v>21.0</v>
      </c>
      <c r="AD6" s="21">
        <v>21.0</v>
      </c>
      <c r="AE6" s="21">
        <f t="shared" si="4"/>
        <v>226</v>
      </c>
    </row>
    <row r="7">
      <c r="A7" s="12" t="s">
        <v>30</v>
      </c>
      <c r="B7" s="13">
        <f t="shared" si="1"/>
        <v>11</v>
      </c>
      <c r="C7" s="13">
        <f t="shared" si="2"/>
        <v>0</v>
      </c>
      <c r="D7" s="13">
        <f t="shared" si="3"/>
        <v>0</v>
      </c>
      <c r="E7" s="16" t="s">
        <v>20</v>
      </c>
      <c r="F7" s="16" t="s">
        <v>20</v>
      </c>
      <c r="G7" s="16" t="s">
        <v>20</v>
      </c>
      <c r="H7" s="16" t="s">
        <v>20</v>
      </c>
      <c r="I7" s="16" t="s">
        <v>20</v>
      </c>
      <c r="J7" s="16" t="s">
        <v>20</v>
      </c>
      <c r="K7" s="16" t="s">
        <v>20</v>
      </c>
      <c r="L7" s="16" t="s">
        <v>20</v>
      </c>
      <c r="M7" s="16" t="s">
        <v>20</v>
      </c>
      <c r="N7" s="16" t="s">
        <v>20</v>
      </c>
      <c r="O7" s="23" t="s">
        <v>20</v>
      </c>
      <c r="P7" s="18"/>
      <c r="R7" s="19" t="s">
        <v>31</v>
      </c>
      <c r="S7" s="20">
        <v>4.0</v>
      </c>
      <c r="T7" s="21">
        <v>0.0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21">
        <v>0.0</v>
      </c>
      <c r="AA7" s="21">
        <v>0.0</v>
      </c>
      <c r="AB7" s="21">
        <v>1.0</v>
      </c>
      <c r="AC7" s="21">
        <v>0.0</v>
      </c>
      <c r="AD7" s="21">
        <v>0.0</v>
      </c>
      <c r="AE7" s="21">
        <f t="shared" si="4"/>
        <v>1</v>
      </c>
    </row>
    <row r="8">
      <c r="A8" s="12" t="s">
        <v>32</v>
      </c>
      <c r="B8" s="13">
        <f t="shared" si="1"/>
        <v>11</v>
      </c>
      <c r="C8" s="13">
        <f t="shared" si="2"/>
        <v>0</v>
      </c>
      <c r="D8" s="13">
        <f t="shared" si="3"/>
        <v>0</v>
      </c>
      <c r="E8" s="16" t="s">
        <v>20</v>
      </c>
      <c r="F8" s="16" t="s">
        <v>20</v>
      </c>
      <c r="G8" s="16" t="s">
        <v>20</v>
      </c>
      <c r="H8" s="16" t="s">
        <v>20</v>
      </c>
      <c r="I8" s="16" t="s">
        <v>20</v>
      </c>
      <c r="J8" s="16" t="s">
        <v>20</v>
      </c>
      <c r="K8" s="16" t="s">
        <v>20</v>
      </c>
      <c r="L8" s="16" t="s">
        <v>20</v>
      </c>
      <c r="M8" s="16" t="s">
        <v>20</v>
      </c>
      <c r="N8" s="16" t="s">
        <v>20</v>
      </c>
      <c r="O8" s="23" t="s">
        <v>20</v>
      </c>
      <c r="P8" s="18"/>
      <c r="R8" s="19" t="s">
        <v>33</v>
      </c>
      <c r="S8" s="20">
        <v>3.0</v>
      </c>
      <c r="T8" s="21">
        <v>0.0</v>
      </c>
      <c r="U8" s="21">
        <v>0.0</v>
      </c>
      <c r="V8" s="21">
        <v>0.0</v>
      </c>
      <c r="W8" s="21">
        <v>0.0</v>
      </c>
      <c r="X8" s="21">
        <v>0.0</v>
      </c>
      <c r="Y8" s="21">
        <v>1.0</v>
      </c>
      <c r="Z8" s="21">
        <v>0.0</v>
      </c>
      <c r="AA8" s="21">
        <v>0.0</v>
      </c>
      <c r="AB8" s="21">
        <v>0.0</v>
      </c>
      <c r="AC8" s="21">
        <v>0.0</v>
      </c>
      <c r="AD8" s="21">
        <v>0.0</v>
      </c>
      <c r="AE8" s="21">
        <f t="shared" si="4"/>
        <v>1</v>
      </c>
    </row>
    <row r="9">
      <c r="A9" s="12" t="s">
        <v>34</v>
      </c>
      <c r="B9" s="13">
        <f t="shared" si="1"/>
        <v>10</v>
      </c>
      <c r="C9" s="13">
        <f t="shared" si="2"/>
        <v>0</v>
      </c>
      <c r="D9" s="13">
        <f t="shared" si="3"/>
        <v>1</v>
      </c>
      <c r="E9" s="16" t="s">
        <v>20</v>
      </c>
      <c r="F9" s="16" t="s">
        <v>28</v>
      </c>
      <c r="G9" s="16" t="s">
        <v>20</v>
      </c>
      <c r="H9" s="16" t="s">
        <v>20</v>
      </c>
      <c r="I9" s="16" t="s">
        <v>20</v>
      </c>
      <c r="J9" s="16" t="s">
        <v>20</v>
      </c>
      <c r="K9" s="16" t="s">
        <v>20</v>
      </c>
      <c r="L9" s="16" t="s">
        <v>20</v>
      </c>
      <c r="M9" s="16" t="s">
        <v>20</v>
      </c>
      <c r="N9" s="16" t="s">
        <v>20</v>
      </c>
      <c r="O9" s="23" t="s">
        <v>20</v>
      </c>
      <c r="P9" s="18"/>
      <c r="R9" s="19" t="s">
        <v>35</v>
      </c>
      <c r="S9" s="20">
        <v>4.0</v>
      </c>
      <c r="T9" s="20">
        <v>0.0</v>
      </c>
      <c r="U9" s="20">
        <v>0.0</v>
      </c>
      <c r="V9" s="20">
        <v>0.0</v>
      </c>
      <c r="W9" s="20">
        <v>0.0</v>
      </c>
      <c r="X9" s="20">
        <v>0.0</v>
      </c>
      <c r="Y9" s="20">
        <v>0.0</v>
      </c>
      <c r="Z9" s="20">
        <v>0.0</v>
      </c>
      <c r="AA9" s="20">
        <v>0.0</v>
      </c>
      <c r="AB9" s="20">
        <v>0.0</v>
      </c>
      <c r="AC9" s="20">
        <v>0.0</v>
      </c>
      <c r="AD9" s="20">
        <v>0.0</v>
      </c>
      <c r="AE9" s="20">
        <v>0.0</v>
      </c>
    </row>
    <row r="10">
      <c r="A10" s="12" t="s">
        <v>36</v>
      </c>
      <c r="B10" s="13">
        <f t="shared" si="1"/>
        <v>11</v>
      </c>
      <c r="C10" s="13">
        <f t="shared" si="2"/>
        <v>0</v>
      </c>
      <c r="D10" s="13">
        <f t="shared" si="3"/>
        <v>0</v>
      </c>
      <c r="E10" s="16" t="s">
        <v>20</v>
      </c>
      <c r="F10" s="16" t="s">
        <v>20</v>
      </c>
      <c r="G10" s="16" t="s">
        <v>20</v>
      </c>
      <c r="H10" s="16" t="s">
        <v>20</v>
      </c>
      <c r="I10" s="16" t="s">
        <v>20</v>
      </c>
      <c r="J10" s="16" t="s">
        <v>20</v>
      </c>
      <c r="K10" s="16" t="s">
        <v>20</v>
      </c>
      <c r="L10" s="16" t="s">
        <v>20</v>
      </c>
      <c r="M10" s="16" t="s">
        <v>20</v>
      </c>
      <c r="N10" s="16" t="s">
        <v>20</v>
      </c>
      <c r="O10" s="23" t="s">
        <v>20</v>
      </c>
      <c r="P10" s="18"/>
      <c r="R10" s="19" t="s">
        <v>37</v>
      </c>
      <c r="S10" s="11"/>
      <c r="T10" s="20">
        <v>0.0</v>
      </c>
      <c r="U10" s="20">
        <v>0.0</v>
      </c>
      <c r="V10" s="20">
        <v>0.0</v>
      </c>
      <c r="W10" s="20">
        <v>0.0</v>
      </c>
      <c r="X10" s="20">
        <v>0.0</v>
      </c>
      <c r="Y10" s="20">
        <v>0.0</v>
      </c>
      <c r="Z10" s="20">
        <v>0.0</v>
      </c>
      <c r="AA10" s="20">
        <v>0.0</v>
      </c>
      <c r="AB10" s="20">
        <v>0.0</v>
      </c>
      <c r="AC10" s="20">
        <v>0.0</v>
      </c>
      <c r="AD10" s="20">
        <v>0.0</v>
      </c>
      <c r="AE10" s="20">
        <v>0.0</v>
      </c>
    </row>
    <row r="11">
      <c r="A11" s="12" t="s">
        <v>38</v>
      </c>
      <c r="B11" s="13">
        <f t="shared" si="1"/>
        <v>10</v>
      </c>
      <c r="C11" s="13">
        <f t="shared" si="2"/>
        <v>0</v>
      </c>
      <c r="D11" s="13">
        <f t="shared" si="3"/>
        <v>1</v>
      </c>
      <c r="E11" s="16" t="s">
        <v>20</v>
      </c>
      <c r="F11" s="16" t="s">
        <v>20</v>
      </c>
      <c r="G11" s="16" t="s">
        <v>20</v>
      </c>
      <c r="H11" s="16" t="s">
        <v>20</v>
      </c>
      <c r="I11" s="16" t="s">
        <v>20</v>
      </c>
      <c r="J11" s="16" t="s">
        <v>20</v>
      </c>
      <c r="K11" s="16" t="s">
        <v>20</v>
      </c>
      <c r="L11" s="16" t="s">
        <v>20</v>
      </c>
      <c r="M11" s="16" t="s">
        <v>20</v>
      </c>
      <c r="N11" s="16" t="s">
        <v>28</v>
      </c>
      <c r="O11" s="23" t="s">
        <v>20</v>
      </c>
      <c r="P11" s="18"/>
      <c r="R11" s="19" t="s">
        <v>39</v>
      </c>
      <c r="S11" s="11"/>
      <c r="T11" s="20">
        <v>8.0</v>
      </c>
      <c r="U11" s="20">
        <v>7.0</v>
      </c>
      <c r="V11" s="20">
        <v>0.0</v>
      </c>
      <c r="W11" s="20">
        <v>0.0</v>
      </c>
      <c r="X11" s="20">
        <v>0.0</v>
      </c>
      <c r="Y11" s="20">
        <v>0.0</v>
      </c>
      <c r="Z11" s="20">
        <v>8.0</v>
      </c>
      <c r="AA11" s="20">
        <v>0.0</v>
      </c>
      <c r="AB11" s="20">
        <v>0.0</v>
      </c>
      <c r="AC11" s="20">
        <v>0.0</v>
      </c>
      <c r="AD11" s="20">
        <v>0.0</v>
      </c>
      <c r="AE11" s="20">
        <v>23.0</v>
      </c>
    </row>
    <row r="12">
      <c r="A12" s="12" t="s">
        <v>40</v>
      </c>
      <c r="B12" s="13">
        <f t="shared" si="1"/>
        <v>10</v>
      </c>
      <c r="C12" s="13">
        <f t="shared" si="2"/>
        <v>0</v>
      </c>
      <c r="D12" s="13">
        <f t="shared" si="3"/>
        <v>1</v>
      </c>
      <c r="E12" s="16" t="s">
        <v>20</v>
      </c>
      <c r="F12" s="16" t="s">
        <v>20</v>
      </c>
      <c r="G12" s="16" t="s">
        <v>20</v>
      </c>
      <c r="H12" s="16" t="s">
        <v>20</v>
      </c>
      <c r="I12" s="16" t="s">
        <v>20</v>
      </c>
      <c r="J12" s="16" t="s">
        <v>20</v>
      </c>
      <c r="K12" s="16" t="s">
        <v>20</v>
      </c>
      <c r="L12" s="16" t="s">
        <v>20</v>
      </c>
      <c r="M12" s="16" t="s">
        <v>20</v>
      </c>
      <c r="N12" s="16" t="s">
        <v>28</v>
      </c>
      <c r="O12" s="23" t="s">
        <v>20</v>
      </c>
      <c r="P12" s="18"/>
      <c r="R12" s="19" t="s">
        <v>41</v>
      </c>
      <c r="S12" s="11"/>
      <c r="T12" s="20">
        <v>6.0</v>
      </c>
      <c r="U12" s="20">
        <v>6.0</v>
      </c>
      <c r="V12" s="20">
        <v>3.0</v>
      </c>
      <c r="W12" s="20">
        <v>0.0</v>
      </c>
      <c r="X12" s="20">
        <v>0.0</v>
      </c>
      <c r="Y12" s="20">
        <v>0.0</v>
      </c>
      <c r="Z12" s="20">
        <v>3.0</v>
      </c>
      <c r="AA12" s="20">
        <v>0.0</v>
      </c>
      <c r="AB12" s="20">
        <v>3.0</v>
      </c>
      <c r="AC12" s="20">
        <v>0.0</v>
      </c>
      <c r="AD12" s="20">
        <v>0.0</v>
      </c>
      <c r="AE12" s="20">
        <v>21.0</v>
      </c>
    </row>
    <row r="13">
      <c r="A13" s="26" t="s">
        <v>42</v>
      </c>
      <c r="B13" s="13">
        <f t="shared" si="1"/>
        <v>11</v>
      </c>
      <c r="C13" s="13">
        <f t="shared" si="2"/>
        <v>0</v>
      </c>
      <c r="D13" s="13">
        <f t="shared" si="3"/>
        <v>0</v>
      </c>
      <c r="E13" s="16" t="s">
        <v>20</v>
      </c>
      <c r="F13" s="16" t="s">
        <v>20</v>
      </c>
      <c r="G13" s="16" t="s">
        <v>20</v>
      </c>
      <c r="H13" s="16" t="s">
        <v>20</v>
      </c>
      <c r="I13" s="16" t="s">
        <v>20</v>
      </c>
      <c r="J13" s="16" t="s">
        <v>20</v>
      </c>
      <c r="K13" s="16" t="s">
        <v>20</v>
      </c>
      <c r="L13" s="16" t="s">
        <v>20</v>
      </c>
      <c r="M13" s="16" t="s">
        <v>20</v>
      </c>
      <c r="N13" s="16" t="s">
        <v>20</v>
      </c>
      <c r="O13" s="23" t="s">
        <v>20</v>
      </c>
      <c r="P13" s="18"/>
      <c r="R13" s="19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</row>
    <row r="14">
      <c r="A14" s="26" t="s">
        <v>43</v>
      </c>
      <c r="B14" s="13">
        <f t="shared" si="1"/>
        <v>0</v>
      </c>
      <c r="C14" s="13">
        <f t="shared" si="2"/>
        <v>0</v>
      </c>
      <c r="D14" s="13">
        <f t="shared" si="3"/>
        <v>11</v>
      </c>
      <c r="E14" s="16" t="s">
        <v>28</v>
      </c>
      <c r="F14" s="16" t="s">
        <v>28</v>
      </c>
      <c r="G14" s="16" t="s">
        <v>28</v>
      </c>
      <c r="H14" s="16" t="s">
        <v>28</v>
      </c>
      <c r="I14" s="16" t="s">
        <v>28</v>
      </c>
      <c r="J14" s="16" t="s">
        <v>28</v>
      </c>
      <c r="K14" s="16" t="s">
        <v>28</v>
      </c>
      <c r="L14" s="16" t="s">
        <v>28</v>
      </c>
      <c r="M14" s="16" t="s">
        <v>28</v>
      </c>
      <c r="N14" s="16" t="s">
        <v>28</v>
      </c>
      <c r="O14" s="23" t="s">
        <v>28</v>
      </c>
      <c r="P14" s="18"/>
      <c r="R14" s="19" t="s">
        <v>44</v>
      </c>
      <c r="S14" s="20">
        <v>6.0</v>
      </c>
      <c r="T14" s="20">
        <v>6.0</v>
      </c>
      <c r="U14" s="20">
        <v>6.0</v>
      </c>
      <c r="V14" s="20">
        <v>6.0</v>
      </c>
      <c r="W14" s="20">
        <v>6.0</v>
      </c>
      <c r="X14" s="20">
        <v>0.0</v>
      </c>
      <c r="Y14" s="20">
        <v>6.0</v>
      </c>
      <c r="Z14" s="20">
        <v>6.0</v>
      </c>
      <c r="AA14" s="20">
        <v>6.0</v>
      </c>
      <c r="AB14" s="20">
        <v>6.0</v>
      </c>
      <c r="AC14" s="20">
        <v>6.0</v>
      </c>
      <c r="AD14" s="20">
        <v>6.0</v>
      </c>
      <c r="AE14" s="20">
        <v>60.0</v>
      </c>
    </row>
    <row r="15">
      <c r="A15" s="12" t="s">
        <v>45</v>
      </c>
      <c r="B15" s="13">
        <f t="shared" si="1"/>
        <v>10</v>
      </c>
      <c r="C15" s="13">
        <f t="shared" si="2"/>
        <v>0</v>
      </c>
      <c r="D15" s="13">
        <f t="shared" si="3"/>
        <v>1</v>
      </c>
      <c r="E15" s="16" t="s">
        <v>20</v>
      </c>
      <c r="F15" s="16" t="s">
        <v>20</v>
      </c>
      <c r="G15" s="16" t="s">
        <v>20</v>
      </c>
      <c r="H15" s="16" t="s">
        <v>20</v>
      </c>
      <c r="I15" s="16" t="s">
        <v>20</v>
      </c>
      <c r="J15" s="16" t="s">
        <v>20</v>
      </c>
      <c r="K15" s="16" t="s">
        <v>20</v>
      </c>
      <c r="L15" s="16" t="s">
        <v>20</v>
      </c>
      <c r="M15" s="16" t="s">
        <v>28</v>
      </c>
      <c r="N15" s="16" t="s">
        <v>20</v>
      </c>
      <c r="O15" s="23" t="s">
        <v>20</v>
      </c>
      <c r="P15" s="18"/>
      <c r="R15" s="19" t="s">
        <v>46</v>
      </c>
      <c r="S15" s="20">
        <v>1.0</v>
      </c>
      <c r="T15" s="20">
        <v>1.0</v>
      </c>
      <c r="U15" s="20">
        <v>1.0</v>
      </c>
      <c r="V15" s="20">
        <v>1.0</v>
      </c>
      <c r="W15" s="20">
        <v>1.0</v>
      </c>
      <c r="X15" s="20">
        <v>0.0</v>
      </c>
      <c r="Y15" s="20">
        <v>0.0</v>
      </c>
      <c r="Z15" s="20">
        <v>1.0</v>
      </c>
      <c r="AA15" s="20">
        <v>1.0</v>
      </c>
      <c r="AB15" s="20">
        <v>1.0</v>
      </c>
      <c r="AC15" s="20">
        <v>0.0</v>
      </c>
      <c r="AD15" s="20">
        <v>1.0</v>
      </c>
      <c r="AE15" s="20">
        <v>8.0</v>
      </c>
    </row>
    <row r="16">
      <c r="A16" s="12" t="s">
        <v>47</v>
      </c>
      <c r="B16" s="13">
        <f t="shared" si="1"/>
        <v>9</v>
      </c>
      <c r="C16" s="13">
        <f t="shared" si="2"/>
        <v>0</v>
      </c>
      <c r="D16" s="13">
        <f t="shared" si="3"/>
        <v>2</v>
      </c>
      <c r="E16" s="16" t="s">
        <v>20</v>
      </c>
      <c r="F16" s="16" t="s">
        <v>20</v>
      </c>
      <c r="G16" s="16" t="s">
        <v>20</v>
      </c>
      <c r="H16" s="16" t="s">
        <v>20</v>
      </c>
      <c r="I16" s="16" t="s">
        <v>20</v>
      </c>
      <c r="J16" s="16" t="s">
        <v>20</v>
      </c>
      <c r="K16" s="16" t="s">
        <v>28</v>
      </c>
      <c r="L16" s="16" t="s">
        <v>20</v>
      </c>
      <c r="M16" s="16" t="s">
        <v>20</v>
      </c>
      <c r="N16" s="16" t="s">
        <v>28</v>
      </c>
      <c r="O16" s="23" t="s">
        <v>20</v>
      </c>
      <c r="P16" s="18"/>
      <c r="R16" s="19" t="s">
        <v>48</v>
      </c>
      <c r="S16" s="20">
        <v>1.0</v>
      </c>
      <c r="T16" s="20">
        <v>0.0</v>
      </c>
      <c r="U16" s="20">
        <v>0.0</v>
      </c>
      <c r="V16" s="20">
        <v>0.0</v>
      </c>
      <c r="W16" s="20">
        <v>0.0</v>
      </c>
      <c r="X16" s="20">
        <v>0.0</v>
      </c>
      <c r="Y16" s="20">
        <v>0.0</v>
      </c>
      <c r="Z16" s="20">
        <v>0.0</v>
      </c>
      <c r="AA16" s="20">
        <v>1.0</v>
      </c>
      <c r="AB16" s="20">
        <v>0.0</v>
      </c>
      <c r="AC16" s="20">
        <v>0.0</v>
      </c>
      <c r="AD16" s="20">
        <v>1.0</v>
      </c>
      <c r="AE16" s="20">
        <v>2.0</v>
      </c>
    </row>
    <row r="17">
      <c r="A17" s="12" t="s">
        <v>49</v>
      </c>
      <c r="B17" s="13">
        <f t="shared" si="1"/>
        <v>9</v>
      </c>
      <c r="C17" s="13">
        <f t="shared" si="2"/>
        <v>1</v>
      </c>
      <c r="D17" s="13">
        <f t="shared" si="3"/>
        <v>1</v>
      </c>
      <c r="E17" s="16" t="s">
        <v>24</v>
      </c>
      <c r="F17" s="16" t="s">
        <v>20</v>
      </c>
      <c r="G17" s="16" t="s">
        <v>20</v>
      </c>
      <c r="H17" s="16" t="s">
        <v>20</v>
      </c>
      <c r="I17" s="16" t="s">
        <v>20</v>
      </c>
      <c r="J17" s="16" t="s">
        <v>20</v>
      </c>
      <c r="K17" s="16" t="s">
        <v>20</v>
      </c>
      <c r="L17" s="16" t="s">
        <v>20</v>
      </c>
      <c r="M17" s="16" t="s">
        <v>20</v>
      </c>
      <c r="N17" s="16" t="s">
        <v>28</v>
      </c>
      <c r="O17" s="23" t="s">
        <v>20</v>
      </c>
      <c r="P17" s="18"/>
    </row>
    <row r="18">
      <c r="A18" s="12" t="s">
        <v>50</v>
      </c>
      <c r="B18" s="13">
        <f t="shared" si="1"/>
        <v>11</v>
      </c>
      <c r="C18" s="13">
        <f t="shared" si="2"/>
        <v>0</v>
      </c>
      <c r="D18" s="13">
        <f t="shared" si="3"/>
        <v>0</v>
      </c>
      <c r="E18" s="16" t="s">
        <v>20</v>
      </c>
      <c r="F18" s="16" t="s">
        <v>20</v>
      </c>
      <c r="G18" s="16" t="s">
        <v>20</v>
      </c>
      <c r="H18" s="16" t="s">
        <v>20</v>
      </c>
      <c r="I18" s="16" t="s">
        <v>20</v>
      </c>
      <c r="J18" s="16" t="s">
        <v>20</v>
      </c>
      <c r="K18" s="16" t="s">
        <v>20</v>
      </c>
      <c r="L18" s="16" t="s">
        <v>20</v>
      </c>
      <c r="M18" s="16" t="s">
        <v>20</v>
      </c>
      <c r="N18" s="16" t="s">
        <v>20</v>
      </c>
      <c r="O18" s="23" t="s">
        <v>20</v>
      </c>
      <c r="P18" s="18"/>
    </row>
    <row r="19">
      <c r="A19" s="12" t="s">
        <v>51</v>
      </c>
      <c r="B19" s="13">
        <f t="shared" si="1"/>
        <v>11</v>
      </c>
      <c r="C19" s="13">
        <f t="shared" si="2"/>
        <v>0</v>
      </c>
      <c r="D19" s="13">
        <f t="shared" si="3"/>
        <v>0</v>
      </c>
      <c r="E19" s="16" t="s">
        <v>20</v>
      </c>
      <c r="F19" s="16" t="s">
        <v>20</v>
      </c>
      <c r="G19" s="16" t="s">
        <v>20</v>
      </c>
      <c r="H19" s="16" t="s">
        <v>20</v>
      </c>
      <c r="I19" s="16" t="s">
        <v>20</v>
      </c>
      <c r="J19" s="16" t="s">
        <v>20</v>
      </c>
      <c r="K19" s="16" t="s">
        <v>20</v>
      </c>
      <c r="L19" s="16" t="s">
        <v>20</v>
      </c>
      <c r="M19" s="16" t="s">
        <v>20</v>
      </c>
      <c r="N19" s="16" t="s">
        <v>20</v>
      </c>
      <c r="O19" s="23" t="s">
        <v>20</v>
      </c>
      <c r="P19" s="18"/>
      <c r="R19" s="1" t="s">
        <v>52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6"/>
    </row>
    <row r="20">
      <c r="A20" s="12" t="s">
        <v>53</v>
      </c>
      <c r="B20" s="13">
        <f t="shared" si="1"/>
        <v>7</v>
      </c>
      <c r="C20" s="13">
        <f t="shared" si="2"/>
        <v>4</v>
      </c>
      <c r="D20" s="13">
        <f t="shared" si="3"/>
        <v>0</v>
      </c>
      <c r="E20" s="16" t="s">
        <v>20</v>
      </c>
      <c r="F20" s="16" t="s">
        <v>20</v>
      </c>
      <c r="G20" s="16" t="s">
        <v>20</v>
      </c>
      <c r="H20" s="16" t="s">
        <v>24</v>
      </c>
      <c r="I20" s="16" t="s">
        <v>20</v>
      </c>
      <c r="J20" s="16" t="s">
        <v>24</v>
      </c>
      <c r="K20" s="16" t="s">
        <v>20</v>
      </c>
      <c r="L20" s="16" t="s">
        <v>20</v>
      </c>
      <c r="M20" s="16" t="s">
        <v>24</v>
      </c>
      <c r="N20" s="16" t="s">
        <v>20</v>
      </c>
      <c r="O20" s="23" t="s">
        <v>24</v>
      </c>
      <c r="P20" s="18"/>
      <c r="R20" s="27"/>
      <c r="S20" s="8" t="s">
        <v>17</v>
      </c>
      <c r="T20" s="8" t="s">
        <v>6</v>
      </c>
      <c r="U20" s="8" t="s">
        <v>7</v>
      </c>
      <c r="V20" s="8" t="s">
        <v>8</v>
      </c>
      <c r="W20" s="8" t="s">
        <v>9</v>
      </c>
      <c r="X20" s="8" t="s">
        <v>10</v>
      </c>
      <c r="Y20" s="8" t="s">
        <v>11</v>
      </c>
      <c r="Z20" s="8" t="s">
        <v>12</v>
      </c>
      <c r="AA20" s="8" t="s">
        <v>13</v>
      </c>
      <c r="AB20" s="8" t="s">
        <v>14</v>
      </c>
      <c r="AC20" s="8" t="s">
        <v>15</v>
      </c>
      <c r="AD20" s="8" t="s">
        <v>16</v>
      </c>
      <c r="AE20" s="8" t="s">
        <v>18</v>
      </c>
    </row>
    <row r="21">
      <c r="A21" s="12" t="s">
        <v>54</v>
      </c>
      <c r="B21" s="13">
        <f t="shared" si="1"/>
        <v>9</v>
      </c>
      <c r="C21" s="13">
        <f t="shared" si="2"/>
        <v>2</v>
      </c>
      <c r="D21" s="13">
        <f t="shared" si="3"/>
        <v>0</v>
      </c>
      <c r="E21" s="16" t="s">
        <v>20</v>
      </c>
      <c r="F21" s="16" t="s">
        <v>20</v>
      </c>
      <c r="G21" s="16" t="s">
        <v>20</v>
      </c>
      <c r="H21" s="16" t="s">
        <v>20</v>
      </c>
      <c r="I21" s="16" t="s">
        <v>20</v>
      </c>
      <c r="J21" s="16" t="s">
        <v>24</v>
      </c>
      <c r="K21" s="16" t="s">
        <v>20</v>
      </c>
      <c r="L21" s="16" t="s">
        <v>20</v>
      </c>
      <c r="M21" s="16" t="s">
        <v>24</v>
      </c>
      <c r="N21" s="16" t="s">
        <v>20</v>
      </c>
      <c r="O21" s="23" t="s">
        <v>20</v>
      </c>
      <c r="P21" s="18"/>
      <c r="R21" s="27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>
      <c r="A22" s="12" t="s">
        <v>55</v>
      </c>
      <c r="B22" s="13">
        <f t="shared" si="1"/>
        <v>10</v>
      </c>
      <c r="C22" s="13">
        <f t="shared" si="2"/>
        <v>1</v>
      </c>
      <c r="D22" s="13">
        <f t="shared" si="3"/>
        <v>0</v>
      </c>
      <c r="E22" s="16" t="s">
        <v>20</v>
      </c>
      <c r="F22" s="16" t="s">
        <v>20</v>
      </c>
      <c r="G22" s="16" t="s">
        <v>20</v>
      </c>
      <c r="H22" s="16" t="s">
        <v>20</v>
      </c>
      <c r="I22" s="16" t="s">
        <v>20</v>
      </c>
      <c r="J22" s="16" t="s">
        <v>24</v>
      </c>
      <c r="K22" s="16" t="s">
        <v>20</v>
      </c>
      <c r="L22" s="16" t="s">
        <v>20</v>
      </c>
      <c r="M22" s="16" t="s">
        <v>20</v>
      </c>
      <c r="N22" s="16" t="s">
        <v>20</v>
      </c>
      <c r="O22" s="23" t="s">
        <v>20</v>
      </c>
      <c r="P22" s="18"/>
      <c r="R22" s="27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12" t="s">
        <v>56</v>
      </c>
      <c r="B23" s="13">
        <f t="shared" si="1"/>
        <v>10</v>
      </c>
      <c r="C23" s="13">
        <f t="shared" si="2"/>
        <v>1</v>
      </c>
      <c r="D23" s="13">
        <f t="shared" si="3"/>
        <v>0</v>
      </c>
      <c r="E23" s="16" t="s">
        <v>20</v>
      </c>
      <c r="F23" s="16" t="s">
        <v>20</v>
      </c>
      <c r="G23" s="16" t="s">
        <v>20</v>
      </c>
      <c r="H23" s="16" t="s">
        <v>20</v>
      </c>
      <c r="I23" s="16" t="s">
        <v>20</v>
      </c>
      <c r="J23" s="16" t="s">
        <v>24</v>
      </c>
      <c r="K23" s="16" t="s">
        <v>20</v>
      </c>
      <c r="L23" s="16" t="s">
        <v>20</v>
      </c>
      <c r="M23" s="16" t="s">
        <v>20</v>
      </c>
      <c r="N23" s="16" t="s">
        <v>20</v>
      </c>
      <c r="O23" s="23" t="s">
        <v>20</v>
      </c>
      <c r="P23" s="18"/>
      <c r="R23" s="27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>
      <c r="A24" s="12" t="s">
        <v>57</v>
      </c>
      <c r="B24" s="13">
        <f t="shared" si="1"/>
        <v>11</v>
      </c>
      <c r="C24" s="13">
        <f t="shared" si="2"/>
        <v>0</v>
      </c>
      <c r="D24" s="13">
        <f t="shared" si="3"/>
        <v>0</v>
      </c>
      <c r="E24" s="16" t="s">
        <v>20</v>
      </c>
      <c r="F24" s="16" t="s">
        <v>20</v>
      </c>
      <c r="G24" s="16" t="s">
        <v>20</v>
      </c>
      <c r="H24" s="16" t="s">
        <v>20</v>
      </c>
      <c r="I24" s="16" t="s">
        <v>20</v>
      </c>
      <c r="J24" s="16" t="s">
        <v>20</v>
      </c>
      <c r="K24" s="16" t="s">
        <v>20</v>
      </c>
      <c r="L24" s="16" t="s">
        <v>20</v>
      </c>
      <c r="M24" s="16" t="s">
        <v>20</v>
      </c>
      <c r="N24" s="16" t="s">
        <v>20</v>
      </c>
      <c r="O24" s="23" t="s">
        <v>20</v>
      </c>
      <c r="P24" s="18"/>
      <c r="R24" s="27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>
      <c r="A25" s="12" t="s">
        <v>58</v>
      </c>
      <c r="B25" s="13">
        <f t="shared" si="1"/>
        <v>11</v>
      </c>
      <c r="C25" s="13">
        <f t="shared" si="2"/>
        <v>0</v>
      </c>
      <c r="D25" s="13">
        <f t="shared" si="3"/>
        <v>0</v>
      </c>
      <c r="E25" s="16" t="s">
        <v>20</v>
      </c>
      <c r="F25" s="16" t="s">
        <v>20</v>
      </c>
      <c r="G25" s="16" t="s">
        <v>20</v>
      </c>
      <c r="H25" s="16" t="s">
        <v>20</v>
      </c>
      <c r="I25" s="16" t="s">
        <v>20</v>
      </c>
      <c r="J25" s="16" t="s">
        <v>20</v>
      </c>
      <c r="K25" s="16" t="s">
        <v>20</v>
      </c>
      <c r="L25" s="16" t="s">
        <v>20</v>
      </c>
      <c r="M25" s="16" t="s">
        <v>20</v>
      </c>
      <c r="N25" s="16" t="s">
        <v>20</v>
      </c>
      <c r="O25" s="23" t="s">
        <v>20</v>
      </c>
      <c r="P25" s="18"/>
      <c r="R25" s="27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>
      <c r="A26" s="12" t="s">
        <v>59</v>
      </c>
      <c r="B26" s="13">
        <f t="shared" si="1"/>
        <v>11</v>
      </c>
      <c r="C26" s="13">
        <f t="shared" si="2"/>
        <v>0</v>
      </c>
      <c r="D26" s="13">
        <f t="shared" si="3"/>
        <v>0</v>
      </c>
      <c r="E26" s="16" t="s">
        <v>20</v>
      </c>
      <c r="F26" s="16" t="s">
        <v>20</v>
      </c>
      <c r="G26" s="16" t="s">
        <v>20</v>
      </c>
      <c r="H26" s="16" t="s">
        <v>20</v>
      </c>
      <c r="I26" s="16" t="s">
        <v>20</v>
      </c>
      <c r="J26" s="16" t="s">
        <v>20</v>
      </c>
      <c r="K26" s="16" t="s">
        <v>20</v>
      </c>
      <c r="L26" s="16" t="s">
        <v>20</v>
      </c>
      <c r="M26" s="16" t="s">
        <v>20</v>
      </c>
      <c r="N26" s="16" t="s">
        <v>20</v>
      </c>
      <c r="O26" s="23" t="s">
        <v>20</v>
      </c>
      <c r="P26" s="18"/>
      <c r="R26" s="27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12" t="s">
        <v>60</v>
      </c>
      <c r="B27" s="13">
        <f t="shared" si="1"/>
        <v>11</v>
      </c>
      <c r="C27" s="13">
        <f t="shared" si="2"/>
        <v>0</v>
      </c>
      <c r="D27" s="13">
        <f t="shared" si="3"/>
        <v>0</v>
      </c>
      <c r="E27" s="16" t="s">
        <v>20</v>
      </c>
      <c r="F27" s="16" t="s">
        <v>20</v>
      </c>
      <c r="G27" s="16" t="s">
        <v>20</v>
      </c>
      <c r="H27" s="16" t="s">
        <v>20</v>
      </c>
      <c r="I27" s="16" t="s">
        <v>20</v>
      </c>
      <c r="J27" s="16" t="s">
        <v>20</v>
      </c>
      <c r="K27" s="16" t="s">
        <v>20</v>
      </c>
      <c r="L27" s="16" t="s">
        <v>20</v>
      </c>
      <c r="M27" s="16" t="s">
        <v>20</v>
      </c>
      <c r="N27" s="16" t="s">
        <v>20</v>
      </c>
      <c r="O27" s="23" t="s">
        <v>20</v>
      </c>
      <c r="P27" s="18"/>
      <c r="R27" s="27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12" t="s">
        <v>61</v>
      </c>
      <c r="B28" s="13">
        <f t="shared" si="1"/>
        <v>11</v>
      </c>
      <c r="C28" s="13">
        <f t="shared" si="2"/>
        <v>0</v>
      </c>
      <c r="D28" s="13">
        <f t="shared" si="3"/>
        <v>0</v>
      </c>
      <c r="E28" s="16" t="s">
        <v>20</v>
      </c>
      <c r="F28" s="16" t="s">
        <v>20</v>
      </c>
      <c r="G28" s="16" t="s">
        <v>20</v>
      </c>
      <c r="H28" s="16" t="s">
        <v>20</v>
      </c>
      <c r="I28" s="16" t="s">
        <v>20</v>
      </c>
      <c r="J28" s="16" t="s">
        <v>20</v>
      </c>
      <c r="K28" s="16" t="s">
        <v>20</v>
      </c>
      <c r="L28" s="16" t="s">
        <v>20</v>
      </c>
      <c r="M28" s="16" t="s">
        <v>20</v>
      </c>
      <c r="N28" s="16" t="s">
        <v>20</v>
      </c>
      <c r="O28" s="23" t="s">
        <v>20</v>
      </c>
      <c r="P28" s="18"/>
      <c r="R28" s="27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28" t="s">
        <v>62</v>
      </c>
      <c r="B29" s="13">
        <f t="shared" si="1"/>
        <v>10</v>
      </c>
      <c r="C29" s="13">
        <f t="shared" si="2"/>
        <v>0</v>
      </c>
      <c r="D29" s="13">
        <f t="shared" si="3"/>
        <v>1</v>
      </c>
      <c r="E29" s="16" t="s">
        <v>20</v>
      </c>
      <c r="F29" s="16" t="s">
        <v>20</v>
      </c>
      <c r="G29" s="16" t="s">
        <v>20</v>
      </c>
      <c r="H29" s="16" t="s">
        <v>20</v>
      </c>
      <c r="I29" s="16" t="s">
        <v>20</v>
      </c>
      <c r="J29" s="16" t="s">
        <v>20</v>
      </c>
      <c r="K29" s="16" t="s">
        <v>20</v>
      </c>
      <c r="L29" s="16" t="s">
        <v>20</v>
      </c>
      <c r="M29" s="16" t="s">
        <v>28</v>
      </c>
      <c r="N29" s="16" t="s">
        <v>20</v>
      </c>
      <c r="O29" s="23" t="s">
        <v>20</v>
      </c>
      <c r="P29" s="18"/>
      <c r="R29" s="19" t="s">
        <v>63</v>
      </c>
      <c r="S29" s="29">
        <v>2.0</v>
      </c>
      <c r="T29" s="29">
        <v>1.0</v>
      </c>
      <c r="U29" s="29">
        <v>2.0</v>
      </c>
      <c r="V29" s="29">
        <v>2.0</v>
      </c>
      <c r="W29" s="29">
        <v>1.0</v>
      </c>
      <c r="X29" s="29">
        <v>0.0</v>
      </c>
      <c r="Y29" s="29">
        <v>2.0</v>
      </c>
      <c r="Z29" s="29">
        <v>2.0</v>
      </c>
      <c r="AA29" s="29">
        <v>2.0</v>
      </c>
      <c r="AB29" s="29">
        <v>1.0</v>
      </c>
      <c r="AC29" s="29">
        <v>1.0</v>
      </c>
      <c r="AD29" s="29">
        <v>2.0</v>
      </c>
      <c r="AE29" s="11">
        <f>SUM(T29:AD29)</f>
        <v>16</v>
      </c>
    </row>
    <row r="30">
      <c r="A30" s="28" t="s">
        <v>64</v>
      </c>
      <c r="B30" s="13">
        <f t="shared" si="1"/>
        <v>11</v>
      </c>
      <c r="C30" s="13">
        <f t="shared" si="2"/>
        <v>0</v>
      </c>
      <c r="D30" s="13">
        <f t="shared" si="3"/>
        <v>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20</v>
      </c>
      <c r="L30" s="16" t="s">
        <v>20</v>
      </c>
      <c r="M30" s="16" t="s">
        <v>20</v>
      </c>
      <c r="N30" s="16" t="s">
        <v>20</v>
      </c>
      <c r="O30" s="23" t="s">
        <v>20</v>
      </c>
      <c r="P30" s="18"/>
      <c r="R30" s="19" t="s">
        <v>65</v>
      </c>
      <c r="S30" s="29">
        <v>2.0</v>
      </c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11"/>
    </row>
    <row r="31">
      <c r="A31" s="28" t="s">
        <v>66</v>
      </c>
      <c r="B31" s="13">
        <f t="shared" si="1"/>
        <v>10</v>
      </c>
      <c r="C31" s="13">
        <f t="shared" si="2"/>
        <v>0</v>
      </c>
      <c r="D31" s="13">
        <f t="shared" si="3"/>
        <v>1</v>
      </c>
      <c r="E31" s="16" t="s">
        <v>20</v>
      </c>
      <c r="F31" s="16" t="s">
        <v>20</v>
      </c>
      <c r="G31" s="16" t="s">
        <v>20</v>
      </c>
      <c r="H31" s="16" t="s">
        <v>20</v>
      </c>
      <c r="I31" s="16" t="s">
        <v>20</v>
      </c>
      <c r="J31" s="16" t="s">
        <v>20</v>
      </c>
      <c r="K31" s="16" t="s">
        <v>28</v>
      </c>
      <c r="L31" s="16" t="s">
        <v>20</v>
      </c>
      <c r="M31" s="16" t="s">
        <v>20</v>
      </c>
      <c r="N31" s="16" t="s">
        <v>20</v>
      </c>
      <c r="O31" s="23" t="s">
        <v>20</v>
      </c>
      <c r="P31" s="18"/>
      <c r="R31" s="19" t="s">
        <v>67</v>
      </c>
      <c r="S31" s="29">
        <v>2.0</v>
      </c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11"/>
    </row>
    <row r="32">
      <c r="A32" s="28" t="s">
        <v>68</v>
      </c>
      <c r="B32" s="13">
        <f t="shared" si="1"/>
        <v>11</v>
      </c>
      <c r="C32" s="13">
        <f t="shared" si="2"/>
        <v>0</v>
      </c>
      <c r="D32" s="13">
        <f t="shared" si="3"/>
        <v>0</v>
      </c>
      <c r="E32" s="16" t="s">
        <v>20</v>
      </c>
      <c r="F32" s="16" t="s">
        <v>20</v>
      </c>
      <c r="G32" s="16" t="s">
        <v>20</v>
      </c>
      <c r="H32" s="16" t="s">
        <v>20</v>
      </c>
      <c r="I32" s="16" t="s">
        <v>20</v>
      </c>
      <c r="J32" s="16" t="s">
        <v>20</v>
      </c>
      <c r="K32" s="16" t="s">
        <v>20</v>
      </c>
      <c r="L32" s="16" t="s">
        <v>20</v>
      </c>
      <c r="M32" s="16" t="s">
        <v>20</v>
      </c>
      <c r="N32" s="16" t="s">
        <v>20</v>
      </c>
      <c r="O32" s="23" t="s">
        <v>20</v>
      </c>
      <c r="P32" s="18"/>
      <c r="R32" s="19" t="s">
        <v>69</v>
      </c>
      <c r="S32" s="29">
        <v>2.0</v>
      </c>
      <c r="T32" s="13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8" t="s">
        <v>70</v>
      </c>
      <c r="B33" s="13">
        <f t="shared" si="1"/>
        <v>11</v>
      </c>
      <c r="C33" s="13">
        <f t="shared" si="2"/>
        <v>0</v>
      </c>
      <c r="D33" s="13">
        <f t="shared" si="3"/>
        <v>0</v>
      </c>
      <c r="E33" s="16" t="s">
        <v>20</v>
      </c>
      <c r="F33" s="16" t="s">
        <v>20</v>
      </c>
      <c r="G33" s="16" t="s">
        <v>20</v>
      </c>
      <c r="H33" s="16" t="s">
        <v>20</v>
      </c>
      <c r="I33" s="16" t="s">
        <v>20</v>
      </c>
      <c r="J33" s="16" t="s">
        <v>20</v>
      </c>
      <c r="K33" s="16" t="s">
        <v>20</v>
      </c>
      <c r="L33" s="16" t="s">
        <v>20</v>
      </c>
      <c r="M33" s="16" t="s">
        <v>20</v>
      </c>
      <c r="N33" s="16" t="s">
        <v>20</v>
      </c>
      <c r="O33" s="23" t="s">
        <v>20</v>
      </c>
      <c r="P33" s="18"/>
      <c r="R33" s="19" t="s">
        <v>71</v>
      </c>
      <c r="S33" s="29">
        <v>1.0</v>
      </c>
      <c r="T33" s="13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>
        <f>SUM(T33:AD33)</f>
        <v>0</v>
      </c>
    </row>
    <row r="34">
      <c r="A34" s="28" t="s">
        <v>72</v>
      </c>
      <c r="B34" s="13">
        <f t="shared" si="1"/>
        <v>8</v>
      </c>
      <c r="C34" s="13">
        <f t="shared" si="2"/>
        <v>0</v>
      </c>
      <c r="D34" s="13">
        <f t="shared" si="3"/>
        <v>3</v>
      </c>
      <c r="E34" s="16" t="s">
        <v>20</v>
      </c>
      <c r="F34" s="16" t="s">
        <v>20</v>
      </c>
      <c r="G34" s="16" t="s">
        <v>20</v>
      </c>
      <c r="H34" s="16" t="s">
        <v>28</v>
      </c>
      <c r="I34" s="16" t="s">
        <v>20</v>
      </c>
      <c r="J34" s="16" t="s">
        <v>20</v>
      </c>
      <c r="K34" s="16" t="s">
        <v>20</v>
      </c>
      <c r="L34" s="16" t="s">
        <v>20</v>
      </c>
      <c r="M34" s="16" t="s">
        <v>28</v>
      </c>
      <c r="N34" s="16" t="s">
        <v>28</v>
      </c>
      <c r="O34" s="23" t="s">
        <v>20</v>
      </c>
      <c r="P34" s="18"/>
      <c r="R34" s="30"/>
      <c r="S34" s="31"/>
      <c r="T34" s="31"/>
      <c r="U34" s="31"/>
    </row>
    <row r="35">
      <c r="A35" s="28" t="s">
        <v>73</v>
      </c>
      <c r="B35" s="13">
        <f t="shared" si="1"/>
        <v>11</v>
      </c>
      <c r="C35" s="13">
        <f t="shared" si="2"/>
        <v>0</v>
      </c>
      <c r="D35" s="13">
        <f t="shared" si="3"/>
        <v>0</v>
      </c>
      <c r="E35" s="16" t="s">
        <v>20</v>
      </c>
      <c r="F35" s="16" t="s">
        <v>20</v>
      </c>
      <c r="G35" s="16" t="s">
        <v>20</v>
      </c>
      <c r="H35" s="16" t="s">
        <v>20</v>
      </c>
      <c r="I35" s="16" t="s">
        <v>20</v>
      </c>
      <c r="J35" s="16" t="s">
        <v>20</v>
      </c>
      <c r="K35" s="16" t="s">
        <v>20</v>
      </c>
      <c r="L35" s="16" t="s">
        <v>20</v>
      </c>
      <c r="M35" s="16" t="s">
        <v>20</v>
      </c>
      <c r="N35" s="16" t="s">
        <v>20</v>
      </c>
      <c r="O35" s="23" t="s">
        <v>20</v>
      </c>
      <c r="P35" s="18"/>
      <c r="R35" s="32" t="s">
        <v>74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6"/>
    </row>
    <row r="36">
      <c r="A36" s="28" t="s">
        <v>75</v>
      </c>
      <c r="B36" s="13">
        <f t="shared" si="1"/>
        <v>11</v>
      </c>
      <c r="C36" s="13">
        <f t="shared" si="2"/>
        <v>0</v>
      </c>
      <c r="D36" s="13">
        <f t="shared" si="3"/>
        <v>0</v>
      </c>
      <c r="E36" s="16" t="s">
        <v>20</v>
      </c>
      <c r="F36" s="16" t="s">
        <v>20</v>
      </c>
      <c r="G36" s="16" t="s">
        <v>20</v>
      </c>
      <c r="H36" s="16" t="s">
        <v>20</v>
      </c>
      <c r="I36" s="16" t="s">
        <v>20</v>
      </c>
      <c r="J36" s="16" t="s">
        <v>20</v>
      </c>
      <c r="K36" s="16" t="s">
        <v>20</v>
      </c>
      <c r="L36" s="16" t="s">
        <v>20</v>
      </c>
      <c r="M36" s="16" t="s">
        <v>20</v>
      </c>
      <c r="N36" s="16" t="s">
        <v>20</v>
      </c>
      <c r="O36" s="23" t="s">
        <v>20</v>
      </c>
      <c r="P36" s="18"/>
      <c r="R36" s="33"/>
      <c r="S36" s="8" t="s">
        <v>17</v>
      </c>
      <c r="T36" s="8" t="s">
        <v>6</v>
      </c>
      <c r="U36" s="8" t="s">
        <v>7</v>
      </c>
      <c r="V36" s="8" t="s">
        <v>8</v>
      </c>
      <c r="W36" s="8" t="s">
        <v>9</v>
      </c>
      <c r="X36" s="8" t="s">
        <v>10</v>
      </c>
      <c r="Y36" s="8" t="s">
        <v>11</v>
      </c>
      <c r="Z36" s="8" t="s">
        <v>12</v>
      </c>
      <c r="AA36" s="8" t="s">
        <v>13</v>
      </c>
      <c r="AB36" s="8" t="s">
        <v>14</v>
      </c>
      <c r="AC36" s="8" t="s">
        <v>15</v>
      </c>
      <c r="AD36" s="8" t="s">
        <v>16</v>
      </c>
    </row>
    <row r="37">
      <c r="A37" s="28" t="s">
        <v>76</v>
      </c>
      <c r="B37" s="13">
        <f t="shared" si="1"/>
        <v>0</v>
      </c>
      <c r="C37" s="13">
        <f t="shared" si="2"/>
        <v>0</v>
      </c>
      <c r="D37" s="13">
        <f t="shared" si="3"/>
        <v>11</v>
      </c>
      <c r="E37" s="16" t="s">
        <v>28</v>
      </c>
      <c r="F37" s="16" t="s">
        <v>28</v>
      </c>
      <c r="G37" s="16" t="s">
        <v>28</v>
      </c>
      <c r="H37" s="16" t="s">
        <v>28</v>
      </c>
      <c r="I37" s="16" t="s">
        <v>28</v>
      </c>
      <c r="J37" s="16" t="s">
        <v>28</v>
      </c>
      <c r="K37" s="16" t="s">
        <v>28</v>
      </c>
      <c r="L37" s="16" t="s">
        <v>28</v>
      </c>
      <c r="M37" s="16" t="s">
        <v>28</v>
      </c>
      <c r="N37" s="16" t="s">
        <v>28</v>
      </c>
      <c r="O37" s="23" t="s">
        <v>28</v>
      </c>
      <c r="P37" s="18"/>
      <c r="R37" s="34" t="s">
        <v>77</v>
      </c>
      <c r="S37" s="20">
        <v>1.0</v>
      </c>
      <c r="T37" s="20">
        <v>1.0</v>
      </c>
      <c r="U37" s="20">
        <v>1.0</v>
      </c>
      <c r="V37" s="20">
        <v>1.0</v>
      </c>
      <c r="W37" s="20">
        <v>1.0</v>
      </c>
      <c r="X37" s="20">
        <v>1.0</v>
      </c>
      <c r="Y37" s="20">
        <v>1.0</v>
      </c>
      <c r="Z37" s="20">
        <v>1.0</v>
      </c>
      <c r="AA37" s="20">
        <v>1.0</v>
      </c>
      <c r="AB37" s="20">
        <v>1.0</v>
      </c>
      <c r="AC37" s="20">
        <v>1.0</v>
      </c>
      <c r="AD37" s="20">
        <v>1.0</v>
      </c>
    </row>
    <row r="38">
      <c r="A38" s="28" t="s">
        <v>78</v>
      </c>
      <c r="B38" s="13">
        <f t="shared" si="1"/>
        <v>10</v>
      </c>
      <c r="C38" s="13">
        <f t="shared" si="2"/>
        <v>1</v>
      </c>
      <c r="D38" s="13">
        <f t="shared" si="3"/>
        <v>0</v>
      </c>
      <c r="E38" s="16" t="s">
        <v>20</v>
      </c>
      <c r="F38" s="16" t="s">
        <v>24</v>
      </c>
      <c r="G38" s="16" t="s">
        <v>20</v>
      </c>
      <c r="H38" s="16" t="s">
        <v>20</v>
      </c>
      <c r="I38" s="16" t="s">
        <v>20</v>
      </c>
      <c r="J38" s="16" t="s">
        <v>20</v>
      </c>
      <c r="K38" s="16" t="s">
        <v>20</v>
      </c>
      <c r="L38" s="16" t="s">
        <v>20</v>
      </c>
      <c r="M38" s="16" t="s">
        <v>20</v>
      </c>
      <c r="N38" s="16" t="s">
        <v>20</v>
      </c>
      <c r="O38" s="23" t="s">
        <v>20</v>
      </c>
      <c r="P38" s="18"/>
      <c r="R38" s="34" t="s">
        <v>79</v>
      </c>
      <c r="S38" s="20">
        <v>5.0</v>
      </c>
      <c r="T38" s="20">
        <v>5.0</v>
      </c>
      <c r="U38" s="20">
        <v>5.0</v>
      </c>
      <c r="V38" s="20">
        <v>5.0</v>
      </c>
      <c r="W38" s="20">
        <v>5.0</v>
      </c>
      <c r="X38" s="20">
        <v>5.0</v>
      </c>
      <c r="Y38" s="20">
        <v>5.0</v>
      </c>
      <c r="Z38" s="20">
        <v>5.0</v>
      </c>
      <c r="AA38" s="20">
        <v>5.0</v>
      </c>
      <c r="AB38" s="20">
        <v>5.0</v>
      </c>
      <c r="AC38" s="20">
        <v>5.0</v>
      </c>
      <c r="AD38" s="20">
        <v>5.0</v>
      </c>
    </row>
    <row r="39">
      <c r="A39" s="28" t="s">
        <v>80</v>
      </c>
      <c r="B39" s="13">
        <f t="shared" si="1"/>
        <v>10</v>
      </c>
      <c r="C39" s="13">
        <f t="shared" si="2"/>
        <v>0</v>
      </c>
      <c r="D39" s="13">
        <f t="shared" si="3"/>
        <v>1</v>
      </c>
      <c r="E39" s="16" t="s">
        <v>20</v>
      </c>
      <c r="F39" s="16" t="s">
        <v>20</v>
      </c>
      <c r="G39" s="16" t="s">
        <v>20</v>
      </c>
      <c r="H39" s="16" t="s">
        <v>20</v>
      </c>
      <c r="I39" s="16" t="s">
        <v>20</v>
      </c>
      <c r="J39" s="16" t="s">
        <v>20</v>
      </c>
      <c r="K39" s="16" t="s">
        <v>20</v>
      </c>
      <c r="L39" s="16" t="s">
        <v>20</v>
      </c>
      <c r="M39" s="16" t="s">
        <v>28</v>
      </c>
      <c r="N39" s="16" t="s">
        <v>20</v>
      </c>
      <c r="O39" s="23" t="s">
        <v>20</v>
      </c>
      <c r="P39" s="18"/>
      <c r="R39" s="34" t="s">
        <v>81</v>
      </c>
      <c r="S39" s="20">
        <v>5.0</v>
      </c>
      <c r="T39" s="20">
        <v>5.0</v>
      </c>
      <c r="U39" s="20">
        <v>5.0</v>
      </c>
      <c r="V39" s="20">
        <v>5.0</v>
      </c>
      <c r="W39" s="20">
        <v>5.0</v>
      </c>
      <c r="X39" s="20">
        <v>5.0</v>
      </c>
      <c r="Y39" s="20">
        <v>5.0</v>
      </c>
      <c r="Z39" s="20">
        <v>5.0</v>
      </c>
      <c r="AA39" s="20">
        <v>5.0</v>
      </c>
      <c r="AB39" s="20">
        <v>5.0</v>
      </c>
      <c r="AC39" s="20">
        <v>5.0</v>
      </c>
      <c r="AD39" s="20">
        <v>5.0</v>
      </c>
    </row>
    <row r="40">
      <c r="A40" s="28" t="s">
        <v>82</v>
      </c>
      <c r="B40" s="13">
        <f t="shared" si="1"/>
        <v>9</v>
      </c>
      <c r="C40" s="13">
        <f t="shared" si="2"/>
        <v>0</v>
      </c>
      <c r="D40" s="13">
        <f t="shared" si="3"/>
        <v>2</v>
      </c>
      <c r="E40" s="16" t="s">
        <v>20</v>
      </c>
      <c r="F40" s="16" t="s">
        <v>20</v>
      </c>
      <c r="G40" s="16" t="s">
        <v>20</v>
      </c>
      <c r="H40" s="16" t="s">
        <v>28</v>
      </c>
      <c r="I40" s="16" t="s">
        <v>20</v>
      </c>
      <c r="J40" s="16" t="s">
        <v>20</v>
      </c>
      <c r="K40" s="16" t="s">
        <v>20</v>
      </c>
      <c r="L40" s="16" t="s">
        <v>20</v>
      </c>
      <c r="M40" s="16" t="s">
        <v>28</v>
      </c>
      <c r="N40" s="16" t="s">
        <v>20</v>
      </c>
      <c r="O40" s="23" t="s">
        <v>20</v>
      </c>
      <c r="P40" s="18"/>
      <c r="R40" s="34" t="s">
        <v>83</v>
      </c>
      <c r="S40" s="20">
        <v>1.0</v>
      </c>
      <c r="T40" s="20">
        <v>1.0</v>
      </c>
      <c r="U40" s="20">
        <v>1.0</v>
      </c>
      <c r="V40" s="20">
        <v>1.0</v>
      </c>
      <c r="W40" s="20">
        <v>1.0</v>
      </c>
      <c r="X40" s="20">
        <v>1.0</v>
      </c>
      <c r="Y40" s="20">
        <v>1.0</v>
      </c>
      <c r="Z40" s="20">
        <v>1.0</v>
      </c>
      <c r="AA40" s="20">
        <v>1.0</v>
      </c>
      <c r="AB40" s="20">
        <v>1.0</v>
      </c>
      <c r="AC40" s="20">
        <v>1.0</v>
      </c>
      <c r="AD40" s="20">
        <v>1.0</v>
      </c>
    </row>
    <row r="41">
      <c r="A41" s="28" t="s">
        <v>84</v>
      </c>
      <c r="B41" s="13">
        <f t="shared" si="1"/>
        <v>6</v>
      </c>
      <c r="C41" s="13">
        <f t="shared" si="2"/>
        <v>0</v>
      </c>
      <c r="D41" s="13">
        <f t="shared" si="3"/>
        <v>5</v>
      </c>
      <c r="E41" s="16" t="s">
        <v>20</v>
      </c>
      <c r="F41" s="16" t="s">
        <v>20</v>
      </c>
      <c r="G41" s="16" t="s">
        <v>20</v>
      </c>
      <c r="H41" s="16" t="s">
        <v>28</v>
      </c>
      <c r="I41" s="16" t="s">
        <v>28</v>
      </c>
      <c r="J41" s="16" t="s">
        <v>28</v>
      </c>
      <c r="K41" s="16" t="s">
        <v>20</v>
      </c>
      <c r="L41" s="16" t="s">
        <v>20</v>
      </c>
      <c r="M41" s="16" t="s">
        <v>28</v>
      </c>
      <c r="N41" s="16" t="s">
        <v>20</v>
      </c>
      <c r="O41" s="23" t="s">
        <v>28</v>
      </c>
      <c r="P41" s="18"/>
      <c r="R41" s="34" t="s">
        <v>85</v>
      </c>
      <c r="S41" s="20">
        <v>1.0</v>
      </c>
      <c r="T41" s="20">
        <v>1.0</v>
      </c>
      <c r="U41" s="20">
        <v>1.0</v>
      </c>
      <c r="V41" s="20">
        <v>1.0</v>
      </c>
      <c r="W41" s="20">
        <v>1.0</v>
      </c>
      <c r="X41" s="20">
        <v>1.0</v>
      </c>
      <c r="Y41" s="20">
        <v>1.0</v>
      </c>
      <c r="Z41" s="20">
        <v>1.0</v>
      </c>
      <c r="AA41" s="20">
        <v>1.0</v>
      </c>
      <c r="AB41" s="20">
        <v>1.0</v>
      </c>
      <c r="AC41" s="20">
        <v>1.0</v>
      </c>
      <c r="AD41" s="20">
        <v>1.0</v>
      </c>
    </row>
    <row r="42">
      <c r="A42" s="28" t="s">
        <v>86</v>
      </c>
      <c r="B42" s="13">
        <f t="shared" si="1"/>
        <v>9</v>
      </c>
      <c r="C42" s="13">
        <f t="shared" si="2"/>
        <v>0</v>
      </c>
      <c r="D42" s="13">
        <f t="shared" si="3"/>
        <v>2</v>
      </c>
      <c r="E42" s="16" t="s">
        <v>20</v>
      </c>
      <c r="F42" s="16" t="s">
        <v>20</v>
      </c>
      <c r="G42" s="16" t="s">
        <v>20</v>
      </c>
      <c r="H42" s="16" t="s">
        <v>28</v>
      </c>
      <c r="I42" s="16" t="s">
        <v>20</v>
      </c>
      <c r="J42" s="16" t="s">
        <v>20</v>
      </c>
      <c r="K42" s="16" t="s">
        <v>20</v>
      </c>
      <c r="L42" s="16" t="s">
        <v>20</v>
      </c>
      <c r="M42" s="16" t="s">
        <v>20</v>
      </c>
      <c r="N42" s="16" t="s">
        <v>20</v>
      </c>
      <c r="O42" s="23" t="s">
        <v>28</v>
      </c>
      <c r="P42" s="18"/>
      <c r="R42" s="34" t="s">
        <v>87</v>
      </c>
      <c r="S42" s="20">
        <v>1.0</v>
      </c>
      <c r="T42" s="20">
        <v>1.0</v>
      </c>
      <c r="U42" s="20">
        <v>1.0</v>
      </c>
      <c r="V42" s="20">
        <v>1.0</v>
      </c>
      <c r="W42" s="20">
        <v>1.0</v>
      </c>
      <c r="X42" s="20">
        <v>1.0</v>
      </c>
      <c r="Y42" s="20">
        <v>1.0</v>
      </c>
      <c r="Z42" s="20">
        <v>1.0</v>
      </c>
      <c r="AA42" s="20">
        <v>1.0</v>
      </c>
      <c r="AB42" s="20">
        <v>1.0</v>
      </c>
      <c r="AC42" s="20">
        <v>1.0</v>
      </c>
      <c r="AD42" s="20">
        <v>1.0</v>
      </c>
    </row>
    <row r="43">
      <c r="A43" s="28" t="s">
        <v>88</v>
      </c>
      <c r="B43" s="13">
        <f t="shared" si="1"/>
        <v>9</v>
      </c>
      <c r="C43" s="13">
        <f t="shared" si="2"/>
        <v>1</v>
      </c>
      <c r="D43" s="13">
        <f t="shared" si="3"/>
        <v>1</v>
      </c>
      <c r="E43" s="16" t="s">
        <v>20</v>
      </c>
      <c r="F43" s="16" t="s">
        <v>20</v>
      </c>
      <c r="G43" s="16" t="s">
        <v>20</v>
      </c>
      <c r="H43" s="16" t="s">
        <v>24</v>
      </c>
      <c r="I43" s="16" t="s">
        <v>20</v>
      </c>
      <c r="J43" s="16" t="s">
        <v>20</v>
      </c>
      <c r="K43" s="16" t="s">
        <v>20</v>
      </c>
      <c r="L43" s="16" t="s">
        <v>20</v>
      </c>
      <c r="M43" s="16" t="s">
        <v>20</v>
      </c>
      <c r="N43" s="16" t="s">
        <v>28</v>
      </c>
      <c r="O43" s="23" t="s">
        <v>20</v>
      </c>
      <c r="P43" s="1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</row>
    <row r="44">
      <c r="A44" s="28" t="s">
        <v>89</v>
      </c>
      <c r="B44" s="13">
        <f t="shared" si="1"/>
        <v>8</v>
      </c>
      <c r="C44" s="13">
        <f t="shared" si="2"/>
        <v>0</v>
      </c>
      <c r="D44" s="13">
        <f t="shared" si="3"/>
        <v>3</v>
      </c>
      <c r="E44" s="16" t="s">
        <v>20</v>
      </c>
      <c r="F44" s="16" t="s">
        <v>20</v>
      </c>
      <c r="G44" s="16" t="s">
        <v>20</v>
      </c>
      <c r="H44" s="16" t="s">
        <v>20</v>
      </c>
      <c r="I44" s="16" t="s">
        <v>20</v>
      </c>
      <c r="J44" s="16" t="s">
        <v>20</v>
      </c>
      <c r="K44" s="16" t="s">
        <v>20</v>
      </c>
      <c r="L44" s="16" t="s">
        <v>20</v>
      </c>
      <c r="M44" s="16" t="s">
        <v>28</v>
      </c>
      <c r="N44" s="16" t="s">
        <v>28</v>
      </c>
      <c r="O44" s="23" t="s">
        <v>28</v>
      </c>
      <c r="P44" s="1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</row>
    <row r="45">
      <c r="A45" s="28" t="s">
        <v>90</v>
      </c>
      <c r="B45" s="13">
        <f t="shared" si="1"/>
        <v>10</v>
      </c>
      <c r="C45" s="13">
        <f t="shared" si="2"/>
        <v>0</v>
      </c>
      <c r="D45" s="13">
        <f t="shared" si="3"/>
        <v>1</v>
      </c>
      <c r="E45" s="16" t="s">
        <v>20</v>
      </c>
      <c r="F45" s="16" t="s">
        <v>20</v>
      </c>
      <c r="G45" s="16" t="s">
        <v>20</v>
      </c>
      <c r="H45" s="16" t="s">
        <v>20</v>
      </c>
      <c r="I45" s="16" t="s">
        <v>20</v>
      </c>
      <c r="J45" s="16" t="s">
        <v>20</v>
      </c>
      <c r="K45" s="16" t="s">
        <v>20</v>
      </c>
      <c r="L45" s="16" t="s">
        <v>20</v>
      </c>
      <c r="M45" s="16" t="s">
        <v>20</v>
      </c>
      <c r="N45" s="16" t="s">
        <v>28</v>
      </c>
      <c r="O45" s="23" t="s">
        <v>20</v>
      </c>
      <c r="P45" s="18"/>
      <c r="R45" s="4" t="s">
        <v>91</v>
      </c>
      <c r="S45" s="5"/>
      <c r="T45" s="5"/>
      <c r="U45" s="6"/>
      <c r="Y45" s="4" t="s">
        <v>92</v>
      </c>
      <c r="Z45" s="5"/>
      <c r="AA45" s="6"/>
      <c r="AC45" s="35"/>
    </row>
    <row r="46">
      <c r="A46" s="28" t="s">
        <v>93</v>
      </c>
      <c r="B46" s="13">
        <f t="shared" si="1"/>
        <v>10</v>
      </c>
      <c r="C46" s="13">
        <f t="shared" si="2"/>
        <v>0</v>
      </c>
      <c r="D46" s="13">
        <f t="shared" si="3"/>
        <v>1</v>
      </c>
      <c r="E46" s="16" t="s">
        <v>20</v>
      </c>
      <c r="F46" s="16" t="s">
        <v>28</v>
      </c>
      <c r="G46" s="16" t="s">
        <v>20</v>
      </c>
      <c r="H46" s="16" t="s">
        <v>20</v>
      </c>
      <c r="I46" s="16" t="s">
        <v>20</v>
      </c>
      <c r="J46" s="16" t="s">
        <v>20</v>
      </c>
      <c r="K46" s="16" t="s">
        <v>20</v>
      </c>
      <c r="L46" s="16" t="s">
        <v>20</v>
      </c>
      <c r="M46" s="16" t="s">
        <v>20</v>
      </c>
      <c r="N46" s="16" t="s">
        <v>20</v>
      </c>
      <c r="O46" s="23" t="s">
        <v>20</v>
      </c>
      <c r="P46" s="18"/>
      <c r="R46" s="27" t="s">
        <v>94</v>
      </c>
      <c r="S46" s="27" t="s">
        <v>95</v>
      </c>
      <c r="T46" s="27" t="s">
        <v>96</v>
      </c>
      <c r="U46" s="27" t="s">
        <v>97</v>
      </c>
      <c r="Y46" s="27" t="s">
        <v>98</v>
      </c>
      <c r="Z46" s="27" t="s">
        <v>96</v>
      </c>
      <c r="AA46" s="27" t="s">
        <v>99</v>
      </c>
      <c r="AC46" s="35"/>
    </row>
    <row r="47">
      <c r="A47" s="28" t="s">
        <v>100</v>
      </c>
      <c r="B47" s="13">
        <f t="shared" si="1"/>
        <v>11</v>
      </c>
      <c r="C47" s="13">
        <f t="shared" si="2"/>
        <v>0</v>
      </c>
      <c r="D47" s="13">
        <f t="shared" si="3"/>
        <v>0</v>
      </c>
      <c r="E47" s="16" t="s">
        <v>20</v>
      </c>
      <c r="F47" s="16" t="s">
        <v>20</v>
      </c>
      <c r="G47" s="16" t="s">
        <v>20</v>
      </c>
      <c r="H47" s="16" t="s">
        <v>20</v>
      </c>
      <c r="I47" s="16" t="s">
        <v>20</v>
      </c>
      <c r="J47" s="16" t="s">
        <v>20</v>
      </c>
      <c r="K47" s="16" t="s">
        <v>20</v>
      </c>
      <c r="L47" s="16" t="s">
        <v>20</v>
      </c>
      <c r="M47" s="16" t="s">
        <v>20</v>
      </c>
      <c r="N47" s="16" t="s">
        <v>20</v>
      </c>
      <c r="O47" s="23" t="s">
        <v>20</v>
      </c>
      <c r="P47" s="18"/>
      <c r="R47" s="19" t="s">
        <v>101</v>
      </c>
      <c r="S47" s="20">
        <v>493491.0</v>
      </c>
      <c r="T47" s="36" t="s">
        <v>102</v>
      </c>
      <c r="U47" s="36" t="s">
        <v>103</v>
      </c>
      <c r="Y47" s="19" t="s">
        <v>104</v>
      </c>
      <c r="Z47" s="37" t="s">
        <v>105</v>
      </c>
      <c r="AA47" s="38">
        <v>46235.0</v>
      </c>
      <c r="AC47" s="35"/>
    </row>
    <row r="48">
      <c r="A48" s="28" t="s">
        <v>106</v>
      </c>
      <c r="B48" s="13">
        <f t="shared" si="1"/>
        <v>10</v>
      </c>
      <c r="C48" s="13">
        <f t="shared" si="2"/>
        <v>0</v>
      </c>
      <c r="D48" s="13">
        <f t="shared" si="3"/>
        <v>1</v>
      </c>
      <c r="E48" s="16" t="s">
        <v>20</v>
      </c>
      <c r="F48" s="16" t="s">
        <v>20</v>
      </c>
      <c r="G48" s="16" t="s">
        <v>20</v>
      </c>
      <c r="H48" s="16" t="s">
        <v>20</v>
      </c>
      <c r="I48" s="16" t="s">
        <v>20</v>
      </c>
      <c r="J48" s="16" t="s">
        <v>20</v>
      </c>
      <c r="K48" s="16" t="s">
        <v>20</v>
      </c>
      <c r="L48" s="16" t="s">
        <v>20</v>
      </c>
      <c r="M48" s="16" t="s">
        <v>20</v>
      </c>
      <c r="N48" s="16" t="s">
        <v>20</v>
      </c>
      <c r="O48" s="23" t="s">
        <v>28</v>
      </c>
      <c r="P48" s="18"/>
      <c r="R48" s="19" t="s">
        <v>101</v>
      </c>
      <c r="S48" s="20">
        <v>802807.0</v>
      </c>
      <c r="T48" s="36" t="s">
        <v>107</v>
      </c>
      <c r="U48" s="36" t="s">
        <v>103</v>
      </c>
      <c r="Y48" s="19" t="s">
        <v>108</v>
      </c>
      <c r="Z48" s="37" t="s">
        <v>105</v>
      </c>
      <c r="AA48" s="38">
        <v>46236.0</v>
      </c>
      <c r="AC48" s="35"/>
    </row>
    <row r="49">
      <c r="A49" s="28" t="s">
        <v>109</v>
      </c>
      <c r="B49" s="13">
        <f t="shared" si="1"/>
        <v>10</v>
      </c>
      <c r="C49" s="13">
        <f t="shared" si="2"/>
        <v>1</v>
      </c>
      <c r="D49" s="13">
        <f t="shared" si="3"/>
        <v>0</v>
      </c>
      <c r="E49" s="16" t="s">
        <v>20</v>
      </c>
      <c r="F49" s="16" t="s">
        <v>20</v>
      </c>
      <c r="G49" s="16" t="s">
        <v>20</v>
      </c>
      <c r="H49" s="16" t="s">
        <v>24</v>
      </c>
      <c r="I49" s="16" t="s">
        <v>20</v>
      </c>
      <c r="J49" s="16" t="s">
        <v>20</v>
      </c>
      <c r="K49" s="16" t="s">
        <v>20</v>
      </c>
      <c r="L49" s="16" t="s">
        <v>20</v>
      </c>
      <c r="M49" s="16" t="s">
        <v>20</v>
      </c>
      <c r="N49" s="16" t="s">
        <v>20</v>
      </c>
      <c r="O49" s="23" t="s">
        <v>20</v>
      </c>
      <c r="P49" s="18"/>
      <c r="R49" s="19" t="s">
        <v>101</v>
      </c>
      <c r="S49" s="20">
        <v>808007.0</v>
      </c>
      <c r="T49" s="36" t="s">
        <v>110</v>
      </c>
      <c r="U49" s="36" t="s">
        <v>103</v>
      </c>
      <c r="AC49" s="35"/>
    </row>
    <row r="50">
      <c r="A50" s="28" t="s">
        <v>111</v>
      </c>
      <c r="B50" s="13">
        <f t="shared" si="1"/>
        <v>11</v>
      </c>
      <c r="C50" s="13">
        <f t="shared" si="2"/>
        <v>0</v>
      </c>
      <c r="D50" s="13">
        <f t="shared" si="3"/>
        <v>0</v>
      </c>
      <c r="E50" s="16" t="s">
        <v>20</v>
      </c>
      <c r="F50" s="16" t="s">
        <v>20</v>
      </c>
      <c r="G50" s="16" t="s">
        <v>20</v>
      </c>
      <c r="H50" s="16" t="s">
        <v>20</v>
      </c>
      <c r="I50" s="16" t="s">
        <v>20</v>
      </c>
      <c r="J50" s="16" t="s">
        <v>20</v>
      </c>
      <c r="K50" s="16" t="s">
        <v>20</v>
      </c>
      <c r="L50" s="16" t="s">
        <v>20</v>
      </c>
      <c r="M50" s="16" t="s">
        <v>20</v>
      </c>
      <c r="N50" s="16" t="s">
        <v>20</v>
      </c>
      <c r="O50" s="23" t="s">
        <v>20</v>
      </c>
      <c r="P50" s="18"/>
      <c r="R50" s="19" t="s">
        <v>101</v>
      </c>
      <c r="S50" s="20">
        <v>801775.0</v>
      </c>
      <c r="T50" s="36" t="s">
        <v>112</v>
      </c>
      <c r="U50" s="36" t="s">
        <v>103</v>
      </c>
      <c r="AC50" s="35"/>
    </row>
    <row r="51">
      <c r="A51" s="28" t="s">
        <v>113</v>
      </c>
      <c r="B51" s="13">
        <f t="shared" si="1"/>
        <v>9</v>
      </c>
      <c r="C51" s="13">
        <f t="shared" si="2"/>
        <v>2</v>
      </c>
      <c r="D51" s="13">
        <f t="shared" si="3"/>
        <v>0</v>
      </c>
      <c r="E51" s="16" t="s">
        <v>20</v>
      </c>
      <c r="F51" s="16" t="s">
        <v>20</v>
      </c>
      <c r="G51" s="16" t="s">
        <v>20</v>
      </c>
      <c r="H51" s="16" t="s">
        <v>20</v>
      </c>
      <c r="I51" s="16" t="s">
        <v>20</v>
      </c>
      <c r="J51" s="16" t="s">
        <v>24</v>
      </c>
      <c r="K51" s="16" t="s">
        <v>20</v>
      </c>
      <c r="L51" s="16" t="s">
        <v>20</v>
      </c>
      <c r="M51" s="16" t="s">
        <v>20</v>
      </c>
      <c r="N51" s="16" t="s">
        <v>24</v>
      </c>
      <c r="O51" s="23" t="s">
        <v>20</v>
      </c>
      <c r="P51" s="18"/>
      <c r="R51" s="19" t="s">
        <v>101</v>
      </c>
      <c r="S51" s="20">
        <v>802541.0</v>
      </c>
      <c r="T51" s="36" t="s">
        <v>114</v>
      </c>
      <c r="U51" s="36" t="s">
        <v>103</v>
      </c>
    </row>
    <row r="52">
      <c r="A52" s="28" t="s">
        <v>115</v>
      </c>
      <c r="B52" s="13">
        <f t="shared" si="1"/>
        <v>6</v>
      </c>
      <c r="C52" s="13">
        <f t="shared" si="2"/>
        <v>1</v>
      </c>
      <c r="D52" s="13">
        <f t="shared" si="3"/>
        <v>4</v>
      </c>
      <c r="E52" s="16" t="s">
        <v>20</v>
      </c>
      <c r="F52" s="16" t="s">
        <v>20</v>
      </c>
      <c r="G52" s="16" t="s">
        <v>20</v>
      </c>
      <c r="H52" s="16" t="s">
        <v>20</v>
      </c>
      <c r="I52" s="16" t="s">
        <v>28</v>
      </c>
      <c r="J52" s="16" t="s">
        <v>28</v>
      </c>
      <c r="K52" s="16" t="s">
        <v>20</v>
      </c>
      <c r="L52" s="16" t="s">
        <v>28</v>
      </c>
      <c r="M52" s="16" t="s">
        <v>20</v>
      </c>
      <c r="N52" s="16" t="s">
        <v>28</v>
      </c>
      <c r="O52" s="23" t="s">
        <v>24</v>
      </c>
      <c r="P52" s="18"/>
      <c r="R52" s="19" t="s">
        <v>101</v>
      </c>
      <c r="S52" s="20">
        <v>489643.0</v>
      </c>
      <c r="T52" s="36" t="s">
        <v>116</v>
      </c>
      <c r="U52" s="36" t="s">
        <v>103</v>
      </c>
    </row>
    <row r="53">
      <c r="A53" s="28" t="s">
        <v>117</v>
      </c>
      <c r="B53" s="13">
        <f t="shared" si="1"/>
        <v>10</v>
      </c>
      <c r="C53" s="13">
        <f t="shared" si="2"/>
        <v>1</v>
      </c>
      <c r="D53" s="13">
        <f t="shared" si="3"/>
        <v>0</v>
      </c>
      <c r="E53" s="16" t="s">
        <v>20</v>
      </c>
      <c r="F53" s="16" t="s">
        <v>20</v>
      </c>
      <c r="G53" s="16" t="s">
        <v>20</v>
      </c>
      <c r="H53" s="16" t="s">
        <v>20</v>
      </c>
      <c r="I53" s="16" t="s">
        <v>24</v>
      </c>
      <c r="J53" s="16" t="s">
        <v>20</v>
      </c>
      <c r="K53" s="16" t="s">
        <v>20</v>
      </c>
      <c r="L53" s="16" t="s">
        <v>20</v>
      </c>
      <c r="M53" s="16" t="s">
        <v>20</v>
      </c>
      <c r="N53" s="16" t="s">
        <v>20</v>
      </c>
      <c r="O53" s="23" t="s">
        <v>20</v>
      </c>
      <c r="P53" s="18"/>
      <c r="R53" s="19" t="s">
        <v>118</v>
      </c>
      <c r="S53" s="11"/>
      <c r="T53" s="36" t="s">
        <v>119</v>
      </c>
      <c r="U53" s="36" t="s">
        <v>103</v>
      </c>
    </row>
    <row r="54">
      <c r="A54" s="28" t="s">
        <v>120</v>
      </c>
      <c r="B54" s="13">
        <f t="shared" si="1"/>
        <v>10</v>
      </c>
      <c r="C54" s="13">
        <f t="shared" si="2"/>
        <v>0</v>
      </c>
      <c r="D54" s="13">
        <f t="shared" si="3"/>
        <v>1</v>
      </c>
      <c r="E54" s="16" t="s">
        <v>20</v>
      </c>
      <c r="F54" s="16" t="s">
        <v>28</v>
      </c>
      <c r="G54" s="16" t="s">
        <v>20</v>
      </c>
      <c r="H54" s="16" t="s">
        <v>20</v>
      </c>
      <c r="I54" s="16" t="s">
        <v>20</v>
      </c>
      <c r="J54" s="16" t="s">
        <v>20</v>
      </c>
      <c r="K54" s="16" t="s">
        <v>20</v>
      </c>
      <c r="L54" s="16" t="s">
        <v>20</v>
      </c>
      <c r="M54" s="16" t="s">
        <v>20</v>
      </c>
      <c r="N54" s="16" t="s">
        <v>20</v>
      </c>
      <c r="O54" s="23" t="s">
        <v>20</v>
      </c>
      <c r="P54" s="18"/>
      <c r="R54" s="19" t="s">
        <v>118</v>
      </c>
      <c r="S54" s="11"/>
      <c r="T54" s="36" t="s">
        <v>121</v>
      </c>
      <c r="U54" s="36" t="s">
        <v>103</v>
      </c>
    </row>
    <row r="55">
      <c r="A55" s="28" t="s">
        <v>122</v>
      </c>
      <c r="B55" s="13">
        <f t="shared" si="1"/>
        <v>10</v>
      </c>
      <c r="C55" s="13">
        <f t="shared" si="2"/>
        <v>0</v>
      </c>
      <c r="D55" s="13">
        <f t="shared" si="3"/>
        <v>1</v>
      </c>
      <c r="E55" s="16" t="s">
        <v>20</v>
      </c>
      <c r="F55" s="16" t="s">
        <v>20</v>
      </c>
      <c r="G55" s="16" t="s">
        <v>20</v>
      </c>
      <c r="H55" s="16" t="s">
        <v>20</v>
      </c>
      <c r="I55" s="16" t="s">
        <v>20</v>
      </c>
      <c r="J55" s="16" t="s">
        <v>20</v>
      </c>
      <c r="K55" s="16" t="s">
        <v>20</v>
      </c>
      <c r="L55" s="16" t="s">
        <v>20</v>
      </c>
      <c r="M55" s="16" t="s">
        <v>20</v>
      </c>
      <c r="N55" s="16" t="s">
        <v>28</v>
      </c>
      <c r="O55" s="23" t="s">
        <v>20</v>
      </c>
      <c r="P55" s="18"/>
      <c r="R55" s="19" t="s">
        <v>118</v>
      </c>
      <c r="S55" s="11"/>
      <c r="T55" s="36" t="s">
        <v>123</v>
      </c>
      <c r="U55" s="36" t="s">
        <v>103</v>
      </c>
    </row>
    <row r="56">
      <c r="A56" s="28" t="s">
        <v>124</v>
      </c>
      <c r="B56" s="13">
        <f t="shared" si="1"/>
        <v>11</v>
      </c>
      <c r="C56" s="13">
        <f t="shared" si="2"/>
        <v>0</v>
      </c>
      <c r="D56" s="13">
        <f t="shared" si="3"/>
        <v>0</v>
      </c>
      <c r="E56" s="16" t="s">
        <v>20</v>
      </c>
      <c r="F56" s="16" t="s">
        <v>20</v>
      </c>
      <c r="G56" s="16" t="s">
        <v>20</v>
      </c>
      <c r="H56" s="16" t="s">
        <v>20</v>
      </c>
      <c r="I56" s="16" t="s">
        <v>20</v>
      </c>
      <c r="J56" s="16" t="s">
        <v>20</v>
      </c>
      <c r="K56" s="16" t="s">
        <v>20</v>
      </c>
      <c r="L56" s="16" t="s">
        <v>20</v>
      </c>
      <c r="M56" s="16" t="s">
        <v>20</v>
      </c>
      <c r="N56" s="16" t="s">
        <v>20</v>
      </c>
      <c r="O56" s="23" t="s">
        <v>20</v>
      </c>
      <c r="P56" s="18"/>
      <c r="R56" s="19" t="s">
        <v>118</v>
      </c>
      <c r="S56" s="11"/>
      <c r="T56" s="11"/>
      <c r="U56" s="36" t="s">
        <v>125</v>
      </c>
    </row>
    <row r="57">
      <c r="A57" s="28" t="s">
        <v>126</v>
      </c>
      <c r="B57" s="13">
        <f t="shared" si="1"/>
        <v>11</v>
      </c>
      <c r="C57" s="13">
        <f t="shared" si="2"/>
        <v>0</v>
      </c>
      <c r="D57" s="13">
        <f t="shared" si="3"/>
        <v>0</v>
      </c>
      <c r="E57" s="16" t="s">
        <v>20</v>
      </c>
      <c r="F57" s="16" t="s">
        <v>20</v>
      </c>
      <c r="G57" s="16" t="s">
        <v>20</v>
      </c>
      <c r="H57" s="16" t="s">
        <v>20</v>
      </c>
      <c r="I57" s="16" t="s">
        <v>20</v>
      </c>
      <c r="J57" s="16" t="s">
        <v>20</v>
      </c>
      <c r="K57" s="16" t="s">
        <v>20</v>
      </c>
      <c r="L57" s="16" t="s">
        <v>20</v>
      </c>
      <c r="M57" s="16" t="s">
        <v>20</v>
      </c>
      <c r="N57" s="16" t="s">
        <v>20</v>
      </c>
      <c r="O57" s="23" t="s">
        <v>20</v>
      </c>
      <c r="P57" s="18"/>
    </row>
    <row r="58">
      <c r="A58" s="28" t="s">
        <v>127</v>
      </c>
      <c r="B58" s="13">
        <f t="shared" si="1"/>
        <v>11</v>
      </c>
      <c r="C58" s="13">
        <f t="shared" si="2"/>
        <v>0</v>
      </c>
      <c r="D58" s="13">
        <f t="shared" si="3"/>
        <v>0</v>
      </c>
      <c r="E58" s="16" t="s">
        <v>20</v>
      </c>
      <c r="F58" s="16" t="s">
        <v>20</v>
      </c>
      <c r="G58" s="16" t="s">
        <v>20</v>
      </c>
      <c r="H58" s="16" t="s">
        <v>20</v>
      </c>
      <c r="I58" s="16" t="s">
        <v>20</v>
      </c>
      <c r="J58" s="16" t="s">
        <v>20</v>
      </c>
      <c r="K58" s="16" t="s">
        <v>20</v>
      </c>
      <c r="L58" s="16" t="s">
        <v>20</v>
      </c>
      <c r="M58" s="16" t="s">
        <v>20</v>
      </c>
      <c r="N58" s="16" t="s">
        <v>20</v>
      </c>
      <c r="O58" s="23" t="s">
        <v>20</v>
      </c>
      <c r="P58" s="18"/>
    </row>
    <row r="59">
      <c r="A59" s="28" t="s">
        <v>128</v>
      </c>
      <c r="B59" s="13">
        <f t="shared" si="1"/>
        <v>10</v>
      </c>
      <c r="C59" s="13">
        <f t="shared" si="2"/>
        <v>0</v>
      </c>
      <c r="D59" s="13">
        <f t="shared" si="3"/>
        <v>1</v>
      </c>
      <c r="E59" s="16" t="s">
        <v>20</v>
      </c>
      <c r="F59" s="16" t="s">
        <v>20</v>
      </c>
      <c r="G59" s="16" t="s">
        <v>20</v>
      </c>
      <c r="H59" s="16" t="s">
        <v>20</v>
      </c>
      <c r="I59" s="16" t="s">
        <v>20</v>
      </c>
      <c r="J59" s="16" t="s">
        <v>20</v>
      </c>
      <c r="K59" s="16" t="s">
        <v>20</v>
      </c>
      <c r="L59" s="16" t="s">
        <v>20</v>
      </c>
      <c r="M59" s="16" t="s">
        <v>28</v>
      </c>
      <c r="N59" s="16" t="s">
        <v>20</v>
      </c>
      <c r="O59" s="23" t="s">
        <v>20</v>
      </c>
      <c r="P59" s="18"/>
    </row>
    <row r="60">
      <c r="A60" s="28" t="s">
        <v>129</v>
      </c>
      <c r="B60" s="13">
        <f t="shared" si="1"/>
        <v>8</v>
      </c>
      <c r="C60" s="13">
        <f t="shared" si="2"/>
        <v>0</v>
      </c>
      <c r="D60" s="13">
        <f t="shared" si="3"/>
        <v>3</v>
      </c>
      <c r="E60" s="16" t="s">
        <v>20</v>
      </c>
      <c r="F60" s="16" t="s">
        <v>20</v>
      </c>
      <c r="G60" s="16" t="s">
        <v>20</v>
      </c>
      <c r="H60" s="16" t="s">
        <v>20</v>
      </c>
      <c r="I60" s="16" t="s">
        <v>28</v>
      </c>
      <c r="J60" s="16" t="s">
        <v>20</v>
      </c>
      <c r="K60" s="16" t="s">
        <v>20</v>
      </c>
      <c r="L60" s="16" t="s">
        <v>20</v>
      </c>
      <c r="M60" s="16" t="s">
        <v>28</v>
      </c>
      <c r="N60" s="16" t="s">
        <v>28</v>
      </c>
      <c r="O60" s="23" t="s">
        <v>20</v>
      </c>
      <c r="P60" s="18"/>
    </row>
    <row r="61">
      <c r="A61" s="28" t="s">
        <v>130</v>
      </c>
      <c r="B61" s="13">
        <f t="shared" si="1"/>
        <v>9</v>
      </c>
      <c r="C61" s="13">
        <f t="shared" si="2"/>
        <v>0</v>
      </c>
      <c r="D61" s="13">
        <f t="shared" si="3"/>
        <v>2</v>
      </c>
      <c r="E61" s="16" t="s">
        <v>20</v>
      </c>
      <c r="F61" s="16" t="s">
        <v>20</v>
      </c>
      <c r="G61" s="16" t="s">
        <v>20</v>
      </c>
      <c r="H61" s="16" t="s">
        <v>20</v>
      </c>
      <c r="I61" s="16" t="s">
        <v>20</v>
      </c>
      <c r="J61" s="16" t="s">
        <v>20</v>
      </c>
      <c r="K61" s="16" t="s">
        <v>20</v>
      </c>
      <c r="L61" s="16" t="s">
        <v>20</v>
      </c>
      <c r="M61" s="16" t="s">
        <v>28</v>
      </c>
      <c r="N61" s="16" t="s">
        <v>28</v>
      </c>
      <c r="O61" s="23" t="s">
        <v>20</v>
      </c>
      <c r="P61" s="18"/>
    </row>
    <row r="62">
      <c r="A62" s="28" t="s">
        <v>131</v>
      </c>
      <c r="B62" s="13">
        <f t="shared" si="1"/>
        <v>10</v>
      </c>
      <c r="C62" s="13">
        <f t="shared" si="2"/>
        <v>1</v>
      </c>
      <c r="D62" s="13">
        <f t="shared" si="3"/>
        <v>0</v>
      </c>
      <c r="E62" s="16" t="s">
        <v>20</v>
      </c>
      <c r="F62" s="16" t="s">
        <v>24</v>
      </c>
      <c r="G62" s="16" t="s">
        <v>20</v>
      </c>
      <c r="H62" s="16" t="s">
        <v>20</v>
      </c>
      <c r="I62" s="16" t="s">
        <v>20</v>
      </c>
      <c r="J62" s="16" t="s">
        <v>20</v>
      </c>
      <c r="K62" s="16" t="s">
        <v>20</v>
      </c>
      <c r="L62" s="16" t="s">
        <v>20</v>
      </c>
      <c r="M62" s="16" t="s">
        <v>20</v>
      </c>
      <c r="N62" s="16" t="s">
        <v>20</v>
      </c>
      <c r="O62" s="23" t="s">
        <v>20</v>
      </c>
      <c r="P62" s="18"/>
    </row>
    <row r="63">
      <c r="A63" s="28" t="s">
        <v>132</v>
      </c>
      <c r="B63" s="13">
        <f t="shared" si="1"/>
        <v>11</v>
      </c>
      <c r="C63" s="13">
        <f t="shared" si="2"/>
        <v>0</v>
      </c>
      <c r="D63" s="13">
        <f t="shared" si="3"/>
        <v>0</v>
      </c>
      <c r="E63" s="16" t="s">
        <v>20</v>
      </c>
      <c r="F63" s="16" t="s">
        <v>20</v>
      </c>
      <c r="G63" s="16" t="s">
        <v>20</v>
      </c>
      <c r="H63" s="16" t="s">
        <v>20</v>
      </c>
      <c r="I63" s="16" t="s">
        <v>20</v>
      </c>
      <c r="J63" s="16" t="s">
        <v>20</v>
      </c>
      <c r="K63" s="16" t="s">
        <v>20</v>
      </c>
      <c r="L63" s="16" t="s">
        <v>20</v>
      </c>
      <c r="M63" s="16" t="s">
        <v>20</v>
      </c>
      <c r="N63" s="16" t="s">
        <v>20</v>
      </c>
      <c r="O63" s="23" t="s">
        <v>20</v>
      </c>
      <c r="P63" s="18"/>
    </row>
    <row r="64">
      <c r="A64" s="28" t="s">
        <v>133</v>
      </c>
      <c r="B64" s="13">
        <f t="shared" si="1"/>
        <v>7</v>
      </c>
      <c r="C64" s="13">
        <f t="shared" si="2"/>
        <v>2</v>
      </c>
      <c r="D64" s="13">
        <f t="shared" si="3"/>
        <v>2</v>
      </c>
      <c r="E64" s="16" t="s">
        <v>20</v>
      </c>
      <c r="F64" s="16" t="s">
        <v>24</v>
      </c>
      <c r="G64" s="16" t="s">
        <v>20</v>
      </c>
      <c r="H64" s="16" t="s">
        <v>20</v>
      </c>
      <c r="I64" s="16" t="s">
        <v>20</v>
      </c>
      <c r="J64" s="16" t="s">
        <v>28</v>
      </c>
      <c r="K64" s="16" t="s">
        <v>20</v>
      </c>
      <c r="L64" s="16" t="s">
        <v>20</v>
      </c>
      <c r="M64" s="16" t="s">
        <v>28</v>
      </c>
      <c r="N64" s="16" t="s">
        <v>24</v>
      </c>
      <c r="O64" s="23" t="s">
        <v>20</v>
      </c>
      <c r="P64" s="18"/>
    </row>
    <row r="65">
      <c r="A65" s="28" t="s">
        <v>134</v>
      </c>
      <c r="B65" s="13">
        <f t="shared" si="1"/>
        <v>11</v>
      </c>
      <c r="C65" s="13">
        <f t="shared" si="2"/>
        <v>0</v>
      </c>
      <c r="D65" s="13">
        <f t="shared" si="3"/>
        <v>0</v>
      </c>
      <c r="E65" s="16" t="s">
        <v>20</v>
      </c>
      <c r="F65" s="16" t="s">
        <v>20</v>
      </c>
      <c r="G65" s="16" t="s">
        <v>20</v>
      </c>
      <c r="H65" s="16" t="s">
        <v>20</v>
      </c>
      <c r="I65" s="16" t="s">
        <v>20</v>
      </c>
      <c r="J65" s="16" t="s">
        <v>20</v>
      </c>
      <c r="K65" s="16" t="s">
        <v>20</v>
      </c>
      <c r="L65" s="16" t="s">
        <v>20</v>
      </c>
      <c r="M65" s="16" t="s">
        <v>20</v>
      </c>
      <c r="N65" s="16" t="s">
        <v>20</v>
      </c>
      <c r="O65" s="23" t="s">
        <v>20</v>
      </c>
      <c r="P65" s="18"/>
    </row>
    <row r="66">
      <c r="A66" s="28" t="s">
        <v>135</v>
      </c>
      <c r="B66" s="13">
        <f t="shared" si="1"/>
        <v>11</v>
      </c>
      <c r="C66" s="13">
        <f t="shared" si="2"/>
        <v>0</v>
      </c>
      <c r="D66" s="13">
        <f t="shared" si="3"/>
        <v>0</v>
      </c>
      <c r="E66" s="16" t="s">
        <v>20</v>
      </c>
      <c r="F66" s="16" t="s">
        <v>20</v>
      </c>
      <c r="G66" s="16" t="s">
        <v>20</v>
      </c>
      <c r="H66" s="16" t="s">
        <v>20</v>
      </c>
      <c r="I66" s="16" t="s">
        <v>20</v>
      </c>
      <c r="J66" s="16" t="s">
        <v>20</v>
      </c>
      <c r="K66" s="16" t="s">
        <v>20</v>
      </c>
      <c r="L66" s="16" t="s">
        <v>20</v>
      </c>
      <c r="M66" s="16" t="s">
        <v>20</v>
      </c>
      <c r="N66" s="16" t="s">
        <v>20</v>
      </c>
      <c r="O66" s="23" t="s">
        <v>20</v>
      </c>
      <c r="P66" s="18"/>
    </row>
    <row r="67">
      <c r="A67" s="28" t="s">
        <v>136</v>
      </c>
      <c r="B67" s="13">
        <f t="shared" si="1"/>
        <v>10</v>
      </c>
      <c r="C67" s="13">
        <f t="shared" si="2"/>
        <v>0</v>
      </c>
      <c r="D67" s="13">
        <f t="shared" si="3"/>
        <v>1</v>
      </c>
      <c r="E67" s="16" t="s">
        <v>20</v>
      </c>
      <c r="F67" s="16" t="s">
        <v>20</v>
      </c>
      <c r="G67" s="16" t="s">
        <v>20</v>
      </c>
      <c r="H67" s="16" t="s">
        <v>20</v>
      </c>
      <c r="I67" s="16" t="s">
        <v>28</v>
      </c>
      <c r="J67" s="16" t="s">
        <v>20</v>
      </c>
      <c r="K67" s="16" t="s">
        <v>20</v>
      </c>
      <c r="L67" s="16" t="s">
        <v>20</v>
      </c>
      <c r="M67" s="16" t="s">
        <v>20</v>
      </c>
      <c r="N67" s="16" t="s">
        <v>20</v>
      </c>
      <c r="O67" s="23" t="s">
        <v>20</v>
      </c>
      <c r="P67" s="18"/>
    </row>
    <row r="68">
      <c r="A68" s="28" t="s">
        <v>137</v>
      </c>
      <c r="B68" s="13">
        <f t="shared" si="1"/>
        <v>9</v>
      </c>
      <c r="C68" s="13">
        <f t="shared" si="2"/>
        <v>0</v>
      </c>
      <c r="D68" s="13">
        <f t="shared" si="3"/>
        <v>2</v>
      </c>
      <c r="E68" s="16" t="s">
        <v>20</v>
      </c>
      <c r="F68" s="16" t="s">
        <v>20</v>
      </c>
      <c r="G68" s="16" t="s">
        <v>20</v>
      </c>
      <c r="H68" s="16" t="s">
        <v>28</v>
      </c>
      <c r="I68" s="16" t="s">
        <v>20</v>
      </c>
      <c r="J68" s="16" t="s">
        <v>20</v>
      </c>
      <c r="K68" s="16" t="s">
        <v>28</v>
      </c>
      <c r="L68" s="16" t="s">
        <v>20</v>
      </c>
      <c r="M68" s="16" t="s">
        <v>20</v>
      </c>
      <c r="N68" s="16" t="s">
        <v>20</v>
      </c>
      <c r="O68" s="23" t="s">
        <v>20</v>
      </c>
      <c r="P68" s="18"/>
    </row>
    <row r="69">
      <c r="A69" s="39" t="s">
        <v>138</v>
      </c>
      <c r="B69" s="13">
        <f t="shared" si="1"/>
        <v>11</v>
      </c>
      <c r="C69" s="13">
        <f t="shared" si="2"/>
        <v>0</v>
      </c>
      <c r="D69" s="13">
        <f t="shared" si="3"/>
        <v>0</v>
      </c>
      <c r="E69" s="16" t="s">
        <v>20</v>
      </c>
      <c r="F69" s="16" t="s">
        <v>20</v>
      </c>
      <c r="G69" s="16" t="s">
        <v>20</v>
      </c>
      <c r="H69" s="16" t="s">
        <v>20</v>
      </c>
      <c r="I69" s="16" t="s">
        <v>20</v>
      </c>
      <c r="J69" s="16" t="s">
        <v>20</v>
      </c>
      <c r="K69" s="16" t="s">
        <v>20</v>
      </c>
      <c r="L69" s="16" t="s">
        <v>20</v>
      </c>
      <c r="M69" s="16" t="s">
        <v>20</v>
      </c>
      <c r="N69" s="16" t="s">
        <v>20</v>
      </c>
      <c r="O69" s="23" t="s">
        <v>20</v>
      </c>
      <c r="P69" s="18"/>
    </row>
    <row r="70">
      <c r="A70" s="28" t="s">
        <v>139</v>
      </c>
      <c r="B70" s="13">
        <f t="shared" si="1"/>
        <v>11</v>
      </c>
      <c r="C70" s="13">
        <f t="shared" si="2"/>
        <v>0</v>
      </c>
      <c r="D70" s="13">
        <f t="shared" si="3"/>
        <v>0</v>
      </c>
      <c r="E70" s="16" t="s">
        <v>20</v>
      </c>
      <c r="F70" s="16" t="s">
        <v>20</v>
      </c>
      <c r="G70" s="16" t="s">
        <v>20</v>
      </c>
      <c r="H70" s="16" t="s">
        <v>20</v>
      </c>
      <c r="I70" s="16" t="s">
        <v>20</v>
      </c>
      <c r="J70" s="16" t="s">
        <v>20</v>
      </c>
      <c r="K70" s="16" t="s">
        <v>20</v>
      </c>
      <c r="L70" s="16" t="s">
        <v>20</v>
      </c>
      <c r="M70" s="16" t="s">
        <v>20</v>
      </c>
      <c r="N70" s="16" t="s">
        <v>20</v>
      </c>
      <c r="O70" s="23" t="s">
        <v>20</v>
      </c>
      <c r="P70" s="18"/>
    </row>
    <row r="71">
      <c r="A71" s="28" t="s">
        <v>140</v>
      </c>
      <c r="B71" s="13">
        <f t="shared" si="1"/>
        <v>11</v>
      </c>
      <c r="C71" s="13">
        <f t="shared" si="2"/>
        <v>0</v>
      </c>
      <c r="D71" s="13">
        <f t="shared" si="3"/>
        <v>0</v>
      </c>
      <c r="E71" s="16" t="s">
        <v>20</v>
      </c>
      <c r="F71" s="16" t="s">
        <v>20</v>
      </c>
      <c r="G71" s="16" t="s">
        <v>20</v>
      </c>
      <c r="H71" s="16" t="s">
        <v>20</v>
      </c>
      <c r="I71" s="16" t="s">
        <v>20</v>
      </c>
      <c r="J71" s="16" t="s">
        <v>20</v>
      </c>
      <c r="K71" s="16" t="s">
        <v>20</v>
      </c>
      <c r="L71" s="16" t="s">
        <v>20</v>
      </c>
      <c r="M71" s="16" t="s">
        <v>20</v>
      </c>
      <c r="N71" s="16" t="s">
        <v>20</v>
      </c>
      <c r="O71" s="23" t="s">
        <v>20</v>
      </c>
      <c r="P71" s="18"/>
    </row>
    <row r="72">
      <c r="A72" s="28" t="s">
        <v>141</v>
      </c>
      <c r="B72" s="13">
        <f t="shared" si="1"/>
        <v>10</v>
      </c>
      <c r="C72" s="13">
        <f t="shared" si="2"/>
        <v>0</v>
      </c>
      <c r="D72" s="13">
        <f t="shared" si="3"/>
        <v>1</v>
      </c>
      <c r="E72" s="16" t="s">
        <v>20</v>
      </c>
      <c r="F72" s="16" t="s">
        <v>20</v>
      </c>
      <c r="G72" s="16" t="s">
        <v>20</v>
      </c>
      <c r="H72" s="16" t="s">
        <v>28</v>
      </c>
      <c r="I72" s="16" t="s">
        <v>20</v>
      </c>
      <c r="J72" s="16" t="s">
        <v>20</v>
      </c>
      <c r="K72" s="16" t="s">
        <v>20</v>
      </c>
      <c r="L72" s="16" t="s">
        <v>20</v>
      </c>
      <c r="M72" s="16" t="s">
        <v>20</v>
      </c>
      <c r="N72" s="16" t="s">
        <v>20</v>
      </c>
      <c r="O72" s="23" t="s">
        <v>20</v>
      </c>
      <c r="P72" s="18"/>
    </row>
    <row r="73">
      <c r="A73" s="28" t="s">
        <v>142</v>
      </c>
      <c r="B73" s="13">
        <f t="shared" si="1"/>
        <v>9</v>
      </c>
      <c r="C73" s="13">
        <f t="shared" si="2"/>
        <v>0</v>
      </c>
      <c r="D73" s="13">
        <f t="shared" si="3"/>
        <v>2</v>
      </c>
      <c r="E73" s="16" t="s">
        <v>20</v>
      </c>
      <c r="F73" s="16" t="s">
        <v>20</v>
      </c>
      <c r="G73" s="16" t="s">
        <v>20</v>
      </c>
      <c r="H73" s="16" t="s">
        <v>28</v>
      </c>
      <c r="I73" s="16" t="s">
        <v>20</v>
      </c>
      <c r="J73" s="16" t="s">
        <v>20</v>
      </c>
      <c r="K73" s="16" t="s">
        <v>20</v>
      </c>
      <c r="L73" s="16" t="s">
        <v>20</v>
      </c>
      <c r="M73" s="16" t="s">
        <v>28</v>
      </c>
      <c r="N73" s="16" t="s">
        <v>20</v>
      </c>
      <c r="O73" s="23" t="s">
        <v>20</v>
      </c>
      <c r="P73" s="18"/>
    </row>
    <row r="74">
      <c r="A74" s="28" t="s">
        <v>143</v>
      </c>
      <c r="B74" s="13">
        <f t="shared" si="1"/>
        <v>11</v>
      </c>
      <c r="C74" s="13">
        <f t="shared" si="2"/>
        <v>0</v>
      </c>
      <c r="D74" s="13">
        <f t="shared" si="3"/>
        <v>0</v>
      </c>
      <c r="E74" s="16" t="s">
        <v>20</v>
      </c>
      <c r="F74" s="16" t="s">
        <v>20</v>
      </c>
      <c r="G74" s="16" t="s">
        <v>20</v>
      </c>
      <c r="H74" s="16" t="s">
        <v>20</v>
      </c>
      <c r="I74" s="16" t="s">
        <v>20</v>
      </c>
      <c r="J74" s="16" t="s">
        <v>20</v>
      </c>
      <c r="K74" s="16" t="s">
        <v>20</v>
      </c>
      <c r="L74" s="16" t="s">
        <v>20</v>
      </c>
      <c r="M74" s="16" t="s">
        <v>20</v>
      </c>
      <c r="N74" s="16" t="s">
        <v>20</v>
      </c>
      <c r="O74" s="23" t="s">
        <v>20</v>
      </c>
      <c r="P74" s="18"/>
    </row>
    <row r="75">
      <c r="A75" s="28" t="s">
        <v>144</v>
      </c>
      <c r="B75" s="13">
        <f t="shared" si="1"/>
        <v>11</v>
      </c>
      <c r="C75" s="13">
        <f t="shared" si="2"/>
        <v>0</v>
      </c>
      <c r="D75" s="13">
        <f t="shared" si="3"/>
        <v>0</v>
      </c>
      <c r="E75" s="16" t="s">
        <v>20</v>
      </c>
      <c r="F75" s="16" t="s">
        <v>20</v>
      </c>
      <c r="G75" s="16" t="s">
        <v>20</v>
      </c>
      <c r="H75" s="16" t="s">
        <v>20</v>
      </c>
      <c r="I75" s="16" t="s">
        <v>20</v>
      </c>
      <c r="J75" s="16" t="s">
        <v>20</v>
      </c>
      <c r="K75" s="16" t="s">
        <v>20</v>
      </c>
      <c r="L75" s="16" t="s">
        <v>20</v>
      </c>
      <c r="M75" s="16" t="s">
        <v>20</v>
      </c>
      <c r="N75" s="16" t="s">
        <v>20</v>
      </c>
      <c r="O75" s="23" t="s">
        <v>20</v>
      </c>
      <c r="P75" s="18"/>
    </row>
    <row r="76">
      <c r="A76" s="28" t="s">
        <v>145</v>
      </c>
      <c r="B76" s="13">
        <f t="shared" si="1"/>
        <v>11</v>
      </c>
      <c r="C76" s="13">
        <f t="shared" si="2"/>
        <v>0</v>
      </c>
      <c r="D76" s="13">
        <f t="shared" si="3"/>
        <v>0</v>
      </c>
      <c r="E76" s="16" t="s">
        <v>20</v>
      </c>
      <c r="F76" s="16" t="s">
        <v>20</v>
      </c>
      <c r="G76" s="16" t="s">
        <v>20</v>
      </c>
      <c r="H76" s="16" t="s">
        <v>20</v>
      </c>
      <c r="I76" s="16" t="s">
        <v>20</v>
      </c>
      <c r="J76" s="16" t="s">
        <v>20</v>
      </c>
      <c r="K76" s="16" t="s">
        <v>20</v>
      </c>
      <c r="L76" s="16" t="s">
        <v>20</v>
      </c>
      <c r="M76" s="16" t="s">
        <v>20</v>
      </c>
      <c r="N76" s="16" t="s">
        <v>20</v>
      </c>
      <c r="O76" s="23" t="s">
        <v>20</v>
      </c>
      <c r="P76" s="18"/>
    </row>
    <row r="77">
      <c r="A77" s="28" t="s">
        <v>146</v>
      </c>
      <c r="B77" s="13">
        <f t="shared" si="1"/>
        <v>11</v>
      </c>
      <c r="C77" s="13">
        <f t="shared" si="2"/>
        <v>0</v>
      </c>
      <c r="D77" s="13">
        <f t="shared" si="3"/>
        <v>0</v>
      </c>
      <c r="E77" s="16" t="s">
        <v>20</v>
      </c>
      <c r="F77" s="16" t="s">
        <v>20</v>
      </c>
      <c r="G77" s="16" t="s">
        <v>20</v>
      </c>
      <c r="H77" s="16" t="s">
        <v>20</v>
      </c>
      <c r="I77" s="16" t="s">
        <v>20</v>
      </c>
      <c r="J77" s="16" t="s">
        <v>20</v>
      </c>
      <c r="K77" s="16" t="s">
        <v>20</v>
      </c>
      <c r="L77" s="16" t="s">
        <v>20</v>
      </c>
      <c r="M77" s="16" t="s">
        <v>20</v>
      </c>
      <c r="N77" s="16" t="s">
        <v>20</v>
      </c>
      <c r="O77" s="23" t="s">
        <v>20</v>
      </c>
      <c r="P77" s="18"/>
    </row>
    <row r="80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</row>
    <row r="81">
      <c r="B81" s="40" t="s">
        <v>6</v>
      </c>
      <c r="D81" s="41"/>
      <c r="E81" s="40" t="s">
        <v>7</v>
      </c>
      <c r="G81" s="41"/>
      <c r="H81" s="40" t="s">
        <v>8</v>
      </c>
      <c r="K81" s="42" t="s">
        <v>9</v>
      </c>
      <c r="M81" s="41"/>
      <c r="N81" s="40" t="s">
        <v>10</v>
      </c>
      <c r="Q81" s="42" t="s">
        <v>11</v>
      </c>
      <c r="T81" s="42" t="s">
        <v>12</v>
      </c>
      <c r="V81" s="41"/>
      <c r="W81" s="40" t="s">
        <v>13</v>
      </c>
      <c r="Z81" s="42" t="s">
        <v>14</v>
      </c>
      <c r="AB81" s="41"/>
      <c r="AC81" s="40" t="s">
        <v>15</v>
      </c>
      <c r="AF81" s="42" t="s">
        <v>16</v>
      </c>
    </row>
    <row r="82">
      <c r="A82" s="27" t="s">
        <v>94</v>
      </c>
      <c r="B82" s="27" t="s">
        <v>95</v>
      </c>
      <c r="C82" s="27" t="s">
        <v>96</v>
      </c>
      <c r="D82" s="43" t="s">
        <v>97</v>
      </c>
      <c r="E82" s="44" t="s">
        <v>95</v>
      </c>
      <c r="F82" s="27" t="s">
        <v>96</v>
      </c>
      <c r="G82" s="43" t="s">
        <v>97</v>
      </c>
      <c r="H82" s="44" t="s">
        <v>95</v>
      </c>
      <c r="I82" s="27" t="s">
        <v>96</v>
      </c>
      <c r="J82" s="45" t="s">
        <v>97</v>
      </c>
      <c r="K82" s="46" t="s">
        <v>95</v>
      </c>
      <c r="L82" s="27" t="s">
        <v>96</v>
      </c>
      <c r="M82" s="43" t="s">
        <v>97</v>
      </c>
      <c r="N82" s="44" t="s">
        <v>95</v>
      </c>
      <c r="O82" s="27" t="s">
        <v>96</v>
      </c>
      <c r="P82" s="45" t="s">
        <v>97</v>
      </c>
      <c r="Q82" s="46" t="s">
        <v>95</v>
      </c>
      <c r="R82" s="27" t="s">
        <v>96</v>
      </c>
      <c r="S82" s="45" t="s">
        <v>97</v>
      </c>
      <c r="T82" s="46" t="s">
        <v>95</v>
      </c>
      <c r="U82" s="27" t="s">
        <v>96</v>
      </c>
      <c r="V82" s="43" t="s">
        <v>97</v>
      </c>
      <c r="W82" s="44" t="s">
        <v>95</v>
      </c>
      <c r="X82" s="27" t="s">
        <v>96</v>
      </c>
      <c r="Y82" s="45" t="s">
        <v>97</v>
      </c>
      <c r="Z82" s="46" t="s">
        <v>95</v>
      </c>
      <c r="AA82" s="27" t="s">
        <v>96</v>
      </c>
      <c r="AB82" s="43" t="s">
        <v>97</v>
      </c>
      <c r="AC82" s="44" t="s">
        <v>95</v>
      </c>
      <c r="AD82" s="27" t="s">
        <v>96</v>
      </c>
      <c r="AE82" s="45" t="s">
        <v>97</v>
      </c>
      <c r="AF82" s="46" t="s">
        <v>95</v>
      </c>
      <c r="AG82" s="27" t="s">
        <v>96</v>
      </c>
      <c r="AH82" s="45" t="s">
        <v>97</v>
      </c>
    </row>
    <row r="83">
      <c r="A83" s="19" t="s">
        <v>147</v>
      </c>
      <c r="B83" s="20">
        <v>7102946.0</v>
      </c>
      <c r="C83" s="36" t="s">
        <v>148</v>
      </c>
      <c r="D83" s="47"/>
      <c r="E83" s="48">
        <v>7102214.0</v>
      </c>
      <c r="F83" s="36" t="s">
        <v>148</v>
      </c>
      <c r="G83" s="47"/>
      <c r="H83" s="48">
        <v>7105313.0</v>
      </c>
      <c r="I83" s="36" t="s">
        <v>149</v>
      </c>
      <c r="J83" s="49"/>
      <c r="K83" s="50">
        <v>467.0</v>
      </c>
      <c r="L83" s="36" t="s">
        <v>150</v>
      </c>
      <c r="M83" s="47"/>
      <c r="N83" s="48">
        <v>7105261.0</v>
      </c>
      <c r="O83" s="36" t="s">
        <v>114</v>
      </c>
      <c r="P83" s="49"/>
      <c r="Q83" s="50">
        <v>7100857.0</v>
      </c>
      <c r="R83" s="36" t="s">
        <v>150</v>
      </c>
      <c r="S83" s="49"/>
      <c r="T83" s="50">
        <v>9670.0</v>
      </c>
      <c r="U83" s="36" t="s">
        <v>114</v>
      </c>
      <c r="V83" s="47"/>
      <c r="W83" s="48">
        <v>7102130.0</v>
      </c>
      <c r="X83" s="36" t="s">
        <v>148</v>
      </c>
      <c r="Y83" s="49"/>
      <c r="Z83" s="50">
        <v>5247.0</v>
      </c>
      <c r="AA83" s="36" t="s">
        <v>148</v>
      </c>
      <c r="AB83" s="47"/>
      <c r="AC83" s="48">
        <v>750.0</v>
      </c>
      <c r="AD83" s="51" t="s">
        <v>148</v>
      </c>
      <c r="AE83" s="49"/>
      <c r="AF83" s="50">
        <v>7106619.0</v>
      </c>
      <c r="AG83" s="51" t="s">
        <v>114</v>
      </c>
      <c r="AH83" s="11"/>
    </row>
    <row r="84">
      <c r="A84" s="19" t="s">
        <v>151</v>
      </c>
      <c r="B84" s="20">
        <v>6900517.0</v>
      </c>
      <c r="C84" s="11"/>
      <c r="D84" s="47"/>
      <c r="E84" s="48">
        <v>7101139.0</v>
      </c>
      <c r="F84" s="11"/>
      <c r="G84" s="47"/>
      <c r="H84" s="48">
        <v>7106608.0</v>
      </c>
      <c r="I84" s="11"/>
      <c r="J84" s="49"/>
      <c r="K84" s="50">
        <v>7105447.0</v>
      </c>
      <c r="L84" s="11"/>
      <c r="M84" s="47"/>
      <c r="N84" s="48">
        <v>7105192.0</v>
      </c>
      <c r="O84" s="11"/>
      <c r="P84" s="49"/>
      <c r="Q84" s="50">
        <v>7104131.0</v>
      </c>
      <c r="R84" s="11"/>
      <c r="S84" s="49"/>
      <c r="T84" s="50">
        <v>7100596.0</v>
      </c>
      <c r="U84" s="11"/>
      <c r="V84" s="47"/>
      <c r="W84" s="48">
        <v>7105551.0</v>
      </c>
      <c r="X84" s="36" t="s">
        <v>152</v>
      </c>
      <c r="Y84" s="49"/>
      <c r="Z84" s="50">
        <v>6913.0</v>
      </c>
      <c r="AA84" s="11"/>
      <c r="AB84" s="47"/>
      <c r="AC84" s="48">
        <v>7105949.0</v>
      </c>
      <c r="AD84" s="52"/>
      <c r="AE84" s="49"/>
      <c r="AF84" s="53"/>
      <c r="AG84" s="52"/>
      <c r="AH84" s="11"/>
    </row>
    <row r="85">
      <c r="A85" s="19" t="s">
        <v>153</v>
      </c>
      <c r="B85" s="20">
        <v>1379118.0</v>
      </c>
      <c r="C85" s="11"/>
      <c r="D85" s="47"/>
      <c r="E85" s="48">
        <v>1.6644491E7</v>
      </c>
      <c r="F85" s="11"/>
      <c r="G85" s="47"/>
      <c r="H85" s="48">
        <v>1657810.0</v>
      </c>
      <c r="I85" s="11"/>
      <c r="J85" s="49"/>
      <c r="K85" s="50">
        <v>1641550.0</v>
      </c>
      <c r="L85" s="11"/>
      <c r="M85" s="47"/>
      <c r="N85" s="48">
        <v>1657830.0</v>
      </c>
      <c r="O85" s="36" t="s">
        <v>154</v>
      </c>
      <c r="P85" s="49"/>
      <c r="Q85" s="50">
        <v>1345820.0</v>
      </c>
      <c r="R85" s="11"/>
      <c r="S85" s="49"/>
      <c r="T85" s="50">
        <v>832134.0</v>
      </c>
      <c r="U85" s="11"/>
      <c r="V85" s="47"/>
      <c r="W85" s="48">
        <v>800856.0</v>
      </c>
      <c r="X85" s="36" t="s">
        <v>152</v>
      </c>
      <c r="Y85" s="49"/>
      <c r="Z85" s="50">
        <v>1872237.0</v>
      </c>
      <c r="AA85" s="11"/>
      <c r="AB85" s="47"/>
      <c r="AC85" s="48">
        <v>94744.0</v>
      </c>
      <c r="AD85" s="52"/>
      <c r="AE85" s="49"/>
      <c r="AF85" s="53"/>
      <c r="AG85" s="52"/>
      <c r="AH85" s="11"/>
    </row>
    <row r="86">
      <c r="A86" s="19" t="s">
        <v>155</v>
      </c>
      <c r="B86" s="20">
        <v>3861.0</v>
      </c>
      <c r="C86" s="11"/>
      <c r="D86" s="47"/>
      <c r="E86" s="48">
        <v>1.0110006E7</v>
      </c>
      <c r="F86" s="11"/>
      <c r="G86" s="47"/>
      <c r="H86" s="48">
        <v>80791.0</v>
      </c>
      <c r="I86" s="11"/>
      <c r="J86" s="49"/>
      <c r="K86" s="50">
        <v>62721.0</v>
      </c>
      <c r="L86" s="11"/>
      <c r="M86" s="47"/>
      <c r="N86" s="48">
        <v>2081524.0</v>
      </c>
      <c r="O86" s="11"/>
      <c r="P86" s="49"/>
      <c r="Q86" s="50">
        <v>1040834.0</v>
      </c>
      <c r="R86" s="11"/>
      <c r="S86" s="49"/>
      <c r="T86" s="50">
        <v>162989.0</v>
      </c>
      <c r="U86" s="11"/>
      <c r="V86" s="47"/>
      <c r="W86" s="48">
        <v>4062481.0</v>
      </c>
      <c r="X86" s="11"/>
      <c r="Y86" s="49"/>
      <c r="Z86" s="50">
        <v>2011242.0</v>
      </c>
      <c r="AA86" s="11"/>
      <c r="AB86" s="47"/>
      <c r="AC86" s="48">
        <v>2091921.0</v>
      </c>
      <c r="AD86" s="48">
        <v>625.0</v>
      </c>
      <c r="AE86" s="49"/>
      <c r="AF86" s="50">
        <v>1091083.0</v>
      </c>
      <c r="AG86" s="52"/>
      <c r="AH86" s="11"/>
    </row>
    <row r="87">
      <c r="A87" s="19" t="s">
        <v>156</v>
      </c>
      <c r="B87" s="36" t="s">
        <v>157</v>
      </c>
      <c r="C87" s="11"/>
      <c r="D87" s="47"/>
      <c r="E87" s="51" t="s">
        <v>20</v>
      </c>
      <c r="F87" s="11"/>
      <c r="G87" s="47"/>
      <c r="H87" s="51" t="s">
        <v>20</v>
      </c>
      <c r="I87" s="11"/>
      <c r="J87" s="49"/>
      <c r="K87" s="54" t="s">
        <v>20</v>
      </c>
      <c r="L87" s="11"/>
      <c r="M87" s="47"/>
      <c r="N87" s="51" t="s">
        <v>157</v>
      </c>
      <c r="O87" s="11"/>
      <c r="P87" s="49"/>
      <c r="Q87" s="54" t="s">
        <v>157</v>
      </c>
      <c r="R87" s="11"/>
      <c r="S87" s="49"/>
      <c r="T87" s="54" t="s">
        <v>20</v>
      </c>
      <c r="U87" s="11"/>
      <c r="V87" s="47"/>
      <c r="W87" s="51" t="s">
        <v>20</v>
      </c>
      <c r="X87" s="11"/>
      <c r="Y87" s="49"/>
      <c r="Z87" s="54" t="s">
        <v>157</v>
      </c>
      <c r="AA87" s="11"/>
      <c r="AB87" s="47"/>
      <c r="AC87" s="51" t="s">
        <v>157</v>
      </c>
      <c r="AD87" s="51" t="s">
        <v>152</v>
      </c>
      <c r="AE87" s="49"/>
      <c r="AF87" s="54" t="s">
        <v>157</v>
      </c>
      <c r="AG87" s="52"/>
      <c r="AH87" s="11"/>
    </row>
    <row r="88">
      <c r="A88" s="19" t="s">
        <v>158</v>
      </c>
      <c r="B88" s="36" t="s">
        <v>157</v>
      </c>
      <c r="C88" s="11"/>
      <c r="D88" s="47"/>
      <c r="E88" s="51" t="s">
        <v>20</v>
      </c>
      <c r="F88" s="11"/>
      <c r="G88" s="47"/>
      <c r="H88" s="51" t="s">
        <v>20</v>
      </c>
      <c r="I88" s="11"/>
      <c r="J88" s="49"/>
      <c r="K88" s="54" t="s">
        <v>20</v>
      </c>
      <c r="L88" s="11"/>
      <c r="M88" s="47"/>
      <c r="N88" s="51" t="s">
        <v>20</v>
      </c>
      <c r="O88" s="11"/>
      <c r="P88" s="49"/>
      <c r="Q88" s="54" t="s">
        <v>20</v>
      </c>
      <c r="R88" s="11"/>
      <c r="S88" s="49"/>
      <c r="T88" s="54" t="s">
        <v>20</v>
      </c>
      <c r="U88" s="11"/>
      <c r="V88" s="47"/>
      <c r="W88" s="51" t="s">
        <v>20</v>
      </c>
      <c r="X88" s="11"/>
      <c r="Y88" s="49"/>
      <c r="Z88" s="54" t="s">
        <v>157</v>
      </c>
      <c r="AA88" s="11"/>
      <c r="AB88" s="47"/>
      <c r="AC88" s="51" t="s">
        <v>157</v>
      </c>
      <c r="AD88" s="51" t="s">
        <v>159</v>
      </c>
      <c r="AE88" s="49"/>
      <c r="AF88" s="54" t="s">
        <v>157</v>
      </c>
      <c r="AG88" s="52"/>
      <c r="AH88" s="11"/>
    </row>
    <row r="89">
      <c r="A89" s="19" t="s">
        <v>160</v>
      </c>
      <c r="B89" s="20">
        <v>1.02305098E8</v>
      </c>
      <c r="C89" s="11"/>
      <c r="D89" s="47"/>
      <c r="E89" s="48">
        <v>1.0231352E8</v>
      </c>
      <c r="F89" s="11"/>
      <c r="G89" s="47"/>
      <c r="H89" s="48">
        <v>1.12101107E8</v>
      </c>
      <c r="I89" s="11"/>
      <c r="J89" s="49"/>
      <c r="K89" s="50">
        <v>1.1210097E8</v>
      </c>
      <c r="L89" s="11"/>
      <c r="M89" s="47"/>
      <c r="N89" s="48">
        <v>1.02310094E8</v>
      </c>
      <c r="O89" s="11"/>
      <c r="P89" s="49"/>
      <c r="Q89" s="50">
        <v>1.22102532E8</v>
      </c>
      <c r="R89" s="11"/>
      <c r="S89" s="49"/>
      <c r="T89" s="50">
        <v>1.02305824E8</v>
      </c>
      <c r="U89" s="11"/>
      <c r="V89" s="47"/>
      <c r="W89" s="48">
        <v>1.12100413E8</v>
      </c>
      <c r="X89" s="11"/>
      <c r="Y89" s="49"/>
      <c r="Z89" s="50">
        <v>1.12101804E8</v>
      </c>
      <c r="AA89" s="11"/>
      <c r="AB89" s="47"/>
      <c r="AC89" s="48">
        <v>1.0215638E7</v>
      </c>
      <c r="AD89" s="52"/>
      <c r="AE89" s="49"/>
      <c r="AF89" s="50">
        <v>1.02305996E8</v>
      </c>
      <c r="AG89" s="52"/>
      <c r="AH89" s="11"/>
    </row>
    <row r="90">
      <c r="A90" s="19" t="s">
        <v>161</v>
      </c>
      <c r="B90" s="36" t="s">
        <v>157</v>
      </c>
      <c r="C90" s="11"/>
      <c r="D90" s="47"/>
      <c r="E90" s="51" t="s">
        <v>20</v>
      </c>
      <c r="F90" s="11"/>
      <c r="G90" s="47"/>
      <c r="H90" s="51" t="s">
        <v>20</v>
      </c>
      <c r="I90" s="11"/>
      <c r="J90" s="49"/>
      <c r="K90" s="54" t="s">
        <v>162</v>
      </c>
      <c r="L90" s="11"/>
      <c r="M90" s="47"/>
      <c r="N90" s="51" t="s">
        <v>20</v>
      </c>
      <c r="O90" s="11"/>
      <c r="P90" s="49"/>
      <c r="Q90" s="54" t="s">
        <v>20</v>
      </c>
      <c r="R90" s="11"/>
      <c r="S90" s="49"/>
      <c r="T90" s="54" t="s">
        <v>20</v>
      </c>
      <c r="U90" s="11"/>
      <c r="V90" s="47"/>
      <c r="W90" s="51"/>
      <c r="X90" s="11"/>
      <c r="Y90" s="49"/>
      <c r="Z90" s="54" t="s">
        <v>20</v>
      </c>
      <c r="AA90" s="11"/>
      <c r="AB90" s="47"/>
      <c r="AC90" s="51" t="s">
        <v>162</v>
      </c>
      <c r="AD90" s="52"/>
      <c r="AE90" s="49"/>
      <c r="AF90" s="54" t="s">
        <v>157</v>
      </c>
      <c r="AG90" s="52"/>
      <c r="AH90" s="11"/>
    </row>
    <row r="91">
      <c r="A91" s="24" t="s">
        <v>163</v>
      </c>
      <c r="B91" s="36" t="s">
        <v>157</v>
      </c>
      <c r="C91" s="11"/>
      <c r="D91" s="47"/>
      <c r="E91" s="51" t="s">
        <v>20</v>
      </c>
      <c r="F91" s="11"/>
      <c r="G91" s="47"/>
      <c r="H91" s="51" t="s">
        <v>20</v>
      </c>
      <c r="I91" s="11"/>
      <c r="J91" s="49"/>
      <c r="K91" s="54" t="s">
        <v>20</v>
      </c>
      <c r="L91" s="11"/>
      <c r="M91" s="47"/>
      <c r="N91" s="51" t="s">
        <v>20</v>
      </c>
      <c r="O91" s="11"/>
      <c r="P91" s="49"/>
      <c r="Q91" s="54" t="s">
        <v>20</v>
      </c>
      <c r="R91" s="11"/>
      <c r="S91" s="49"/>
      <c r="T91" s="54" t="s">
        <v>20</v>
      </c>
      <c r="U91" s="11"/>
      <c r="V91" s="47"/>
      <c r="W91" s="51" t="s">
        <v>20</v>
      </c>
      <c r="X91" s="11"/>
      <c r="Y91" s="49"/>
      <c r="Z91" s="54" t="s">
        <v>20</v>
      </c>
      <c r="AA91" s="11"/>
      <c r="AB91" s="47"/>
      <c r="AC91" s="51" t="s">
        <v>20</v>
      </c>
      <c r="AD91" s="52"/>
      <c r="AE91" s="49"/>
      <c r="AF91" s="54" t="s">
        <v>157</v>
      </c>
      <c r="AG91" s="52"/>
      <c r="AH91" s="11"/>
    </row>
    <row r="92">
      <c r="A92" s="19" t="s">
        <v>164</v>
      </c>
      <c r="B92" s="20">
        <v>522705.0</v>
      </c>
      <c r="C92" s="11"/>
      <c r="D92" s="47"/>
      <c r="E92" s="48">
        <v>530106.0</v>
      </c>
      <c r="F92" s="11"/>
      <c r="G92" s="47"/>
      <c r="H92" s="48">
        <v>529414.0</v>
      </c>
      <c r="I92" s="11"/>
      <c r="J92" s="49"/>
      <c r="K92" s="50">
        <v>586526.0</v>
      </c>
      <c r="L92" s="11"/>
      <c r="M92" s="47"/>
      <c r="N92" s="48">
        <v>605453.0</v>
      </c>
      <c r="O92" s="11"/>
      <c r="P92" s="49"/>
      <c r="Q92" s="50">
        <v>587021.0</v>
      </c>
      <c r="R92" s="11"/>
      <c r="S92" s="49"/>
      <c r="T92" s="50">
        <v>586216.0</v>
      </c>
      <c r="U92" s="11"/>
      <c r="V92" s="47"/>
      <c r="W92" s="48">
        <v>529844.0</v>
      </c>
      <c r="X92" s="11"/>
      <c r="Y92" s="49"/>
      <c r="Z92" s="50">
        <v>605854.0</v>
      </c>
      <c r="AA92" s="11"/>
      <c r="AB92" s="47"/>
      <c r="AC92" s="48">
        <v>587107.0</v>
      </c>
      <c r="AD92" s="52"/>
      <c r="AE92" s="49"/>
      <c r="AF92" s="50">
        <v>522625.0</v>
      </c>
      <c r="AG92" s="52"/>
      <c r="AH92" s="11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</sheetData>
  <mergeCells count="16">
    <mergeCell ref="H81:J81"/>
    <mergeCell ref="K81:M81"/>
    <mergeCell ref="N81:P81"/>
    <mergeCell ref="Q81:S81"/>
    <mergeCell ref="T81:V81"/>
    <mergeCell ref="W81:Y81"/>
    <mergeCell ref="Z81:AB81"/>
    <mergeCell ref="AC81:AE81"/>
    <mergeCell ref="AF81:AH81"/>
    <mergeCell ref="R1:AE1"/>
    <mergeCell ref="R19:AE19"/>
    <mergeCell ref="R35:AD35"/>
    <mergeCell ref="R45:U45"/>
    <mergeCell ref="Y45:AA45"/>
    <mergeCell ref="B81:D81"/>
    <mergeCell ref="E81:G81"/>
  </mergeCells>
  <dataValidations>
    <dataValidation type="list" allowBlank="1" showErrorMessage="1" sqref="E3:O77">
      <formula1>"קיים,בלאי,חוסר"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1.13"/>
    <col customWidth="1" min="12" max="12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55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>
      <c r="A2" s="7" t="s">
        <v>2</v>
      </c>
      <c r="B2" s="8" t="s">
        <v>17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18</v>
      </c>
      <c r="P2" s="11"/>
      <c r="Q2" s="8" t="s">
        <v>17</v>
      </c>
      <c r="R2" s="8" t="s">
        <v>6</v>
      </c>
      <c r="S2" s="8" t="s">
        <v>7</v>
      </c>
      <c r="T2" s="8" t="s">
        <v>8</v>
      </c>
      <c r="U2" s="8" t="s">
        <v>9</v>
      </c>
      <c r="V2" s="8" t="s">
        <v>10</v>
      </c>
      <c r="W2" s="8" t="s">
        <v>11</v>
      </c>
      <c r="X2" s="8" t="s">
        <v>12</v>
      </c>
      <c r="Y2" s="8" t="s">
        <v>13</v>
      </c>
      <c r="Z2" s="8" t="s">
        <v>14</v>
      </c>
      <c r="AA2" s="8" t="s">
        <v>15</v>
      </c>
      <c r="AB2" s="8" t="s">
        <v>16</v>
      </c>
      <c r="AC2" s="8" t="s">
        <v>18</v>
      </c>
    </row>
    <row r="3">
      <c r="A3" s="12" t="s">
        <v>19</v>
      </c>
      <c r="B3" s="29">
        <v>1.0</v>
      </c>
      <c r="C3" s="22" t="s">
        <v>20</v>
      </c>
      <c r="D3" s="22" t="s">
        <v>21</v>
      </c>
      <c r="E3" s="16" t="s">
        <v>20</v>
      </c>
      <c r="F3" s="16" t="s">
        <v>20</v>
      </c>
      <c r="G3" s="16" t="s">
        <v>20</v>
      </c>
      <c r="H3" s="16" t="s">
        <v>20</v>
      </c>
      <c r="I3" s="16" t="s">
        <v>20</v>
      </c>
      <c r="J3" s="16" t="s">
        <v>20</v>
      </c>
      <c r="K3" s="16" t="s">
        <v>20</v>
      </c>
      <c r="L3" s="16" t="s">
        <v>20</v>
      </c>
      <c r="M3" s="56" t="s">
        <v>20</v>
      </c>
      <c r="N3" s="13">
        <f t="shared" ref="N3:N12" si="1">COUNTIF(C3:M3, "קיים")</f>
        <v>11</v>
      </c>
      <c r="P3" s="19" t="s">
        <v>22</v>
      </c>
      <c r="Q3" s="20">
        <v>36.0</v>
      </c>
      <c r="R3" s="21">
        <v>37.0</v>
      </c>
      <c r="S3" s="21">
        <v>49.0</v>
      </c>
      <c r="T3" s="21">
        <v>41.0</v>
      </c>
      <c r="U3" s="21">
        <v>35.0</v>
      </c>
      <c r="V3" s="21">
        <v>0.0</v>
      </c>
      <c r="W3" s="21">
        <v>41.0</v>
      </c>
      <c r="X3" s="21">
        <v>30.0</v>
      </c>
      <c r="Y3" s="21">
        <v>38.0</v>
      </c>
      <c r="Z3" s="21">
        <v>42.0</v>
      </c>
      <c r="AA3" s="21">
        <v>40.0</v>
      </c>
      <c r="AB3" s="21">
        <v>0.0</v>
      </c>
      <c r="AC3" s="21">
        <f t="shared" ref="AC3:AC8" si="2">SUM(R3:AB3)</f>
        <v>353</v>
      </c>
    </row>
    <row r="4">
      <c r="A4" s="12" t="s">
        <v>23</v>
      </c>
      <c r="B4" s="29">
        <v>1.0</v>
      </c>
      <c r="C4" s="22" t="s">
        <v>20</v>
      </c>
      <c r="D4" s="22" t="s">
        <v>24</v>
      </c>
      <c r="E4" s="16" t="s">
        <v>20</v>
      </c>
      <c r="F4" s="16" t="s">
        <v>24</v>
      </c>
      <c r="G4" s="16" t="s">
        <v>20</v>
      </c>
      <c r="H4" s="16" t="s">
        <v>20</v>
      </c>
      <c r="I4" s="16" t="s">
        <v>20</v>
      </c>
      <c r="J4" s="16" t="s">
        <v>20</v>
      </c>
      <c r="K4" s="16" t="s">
        <v>20</v>
      </c>
      <c r="L4" s="16" t="s">
        <v>20</v>
      </c>
      <c r="M4" s="16" t="s">
        <v>20</v>
      </c>
      <c r="N4" s="13">
        <f t="shared" si="1"/>
        <v>9</v>
      </c>
      <c r="P4" s="24">
        <v>0.5</v>
      </c>
      <c r="Q4" s="20">
        <v>2.0</v>
      </c>
      <c r="R4" s="21">
        <v>0.0</v>
      </c>
      <c r="S4" s="21">
        <v>2.0</v>
      </c>
      <c r="T4" s="21">
        <v>0.0</v>
      </c>
      <c r="U4" s="21">
        <v>1.0</v>
      </c>
      <c r="V4" s="21">
        <v>0.0</v>
      </c>
      <c r="W4" s="21">
        <v>1.0</v>
      </c>
      <c r="X4" s="21">
        <v>0.0</v>
      </c>
      <c r="Y4" s="21">
        <v>1.0</v>
      </c>
      <c r="Z4" s="21">
        <v>1.0</v>
      </c>
      <c r="AA4" s="21">
        <v>2.0</v>
      </c>
      <c r="AB4" s="21">
        <v>1.0</v>
      </c>
      <c r="AC4" s="21">
        <f t="shared" si="2"/>
        <v>9</v>
      </c>
    </row>
    <row r="5">
      <c r="A5" s="12" t="s">
        <v>25</v>
      </c>
      <c r="B5" s="29">
        <v>1.0</v>
      </c>
      <c r="C5" s="22" t="s">
        <v>24</v>
      </c>
      <c r="D5" s="22" t="s">
        <v>24</v>
      </c>
      <c r="E5" s="16" t="s">
        <v>20</v>
      </c>
      <c r="F5" s="16" t="s">
        <v>20</v>
      </c>
      <c r="G5" s="16" t="s">
        <v>20</v>
      </c>
      <c r="H5" s="16" t="s">
        <v>24</v>
      </c>
      <c r="I5" s="16" t="s">
        <v>20</v>
      </c>
      <c r="J5" s="16" t="s">
        <v>20</v>
      </c>
      <c r="K5" s="16" t="s">
        <v>20</v>
      </c>
      <c r="L5" s="16" t="s">
        <v>24</v>
      </c>
      <c r="M5" s="16" t="s">
        <v>20</v>
      </c>
      <c r="N5" s="13">
        <f t="shared" si="1"/>
        <v>7</v>
      </c>
      <c r="P5" s="19" t="s">
        <v>26</v>
      </c>
      <c r="Q5" s="20">
        <v>10.0</v>
      </c>
      <c r="R5" s="21">
        <v>8.0</v>
      </c>
      <c r="S5" s="21">
        <v>10.0</v>
      </c>
      <c r="T5" s="21">
        <v>9.0</v>
      </c>
      <c r="U5" s="21">
        <v>3.0</v>
      </c>
      <c r="V5" s="21">
        <v>0.0</v>
      </c>
      <c r="W5" s="21">
        <v>7.0</v>
      </c>
      <c r="X5" s="21">
        <v>8.0</v>
      </c>
      <c r="Y5" s="21">
        <v>6.0</v>
      </c>
      <c r="Z5" s="21">
        <v>5.0</v>
      </c>
      <c r="AA5" s="21">
        <v>6.0</v>
      </c>
      <c r="AB5" s="21">
        <v>5.0</v>
      </c>
      <c r="AC5" s="21">
        <f t="shared" si="2"/>
        <v>67</v>
      </c>
    </row>
    <row r="6">
      <c r="A6" s="12" t="s">
        <v>27</v>
      </c>
      <c r="B6" s="29">
        <v>1.0</v>
      </c>
      <c r="C6" s="16" t="s">
        <v>24</v>
      </c>
      <c r="D6" s="16" t="s">
        <v>20</v>
      </c>
      <c r="E6" s="16" t="s">
        <v>20</v>
      </c>
      <c r="F6" s="16" t="s">
        <v>24</v>
      </c>
      <c r="G6" s="16" t="s">
        <v>20</v>
      </c>
      <c r="H6" s="16" t="s">
        <v>28</v>
      </c>
      <c r="I6" s="16" t="s">
        <v>20</v>
      </c>
      <c r="J6" s="16" t="s">
        <v>20</v>
      </c>
      <c r="K6" s="16" t="s">
        <v>20</v>
      </c>
      <c r="L6" s="16" t="s">
        <v>24</v>
      </c>
      <c r="M6" s="16" t="s">
        <v>20</v>
      </c>
      <c r="N6" s="13">
        <f t="shared" si="1"/>
        <v>7</v>
      </c>
      <c r="P6" s="19" t="s">
        <v>29</v>
      </c>
      <c r="Q6" s="20">
        <v>17.0</v>
      </c>
      <c r="R6" s="21">
        <v>24.0</v>
      </c>
      <c r="S6" s="21">
        <v>17.0</v>
      </c>
      <c r="T6" s="21">
        <v>21.0</v>
      </c>
      <c r="U6" s="21">
        <v>31.0</v>
      </c>
      <c r="V6" s="25">
        <v>0.0</v>
      </c>
      <c r="W6" s="21">
        <v>22.0</v>
      </c>
      <c r="X6" s="21">
        <v>26.0</v>
      </c>
      <c r="Y6" s="21">
        <v>24.0</v>
      </c>
      <c r="Z6" s="21">
        <v>19.0</v>
      </c>
      <c r="AA6" s="21">
        <v>21.0</v>
      </c>
      <c r="AB6" s="21">
        <v>21.0</v>
      </c>
      <c r="AC6" s="21">
        <f t="shared" si="2"/>
        <v>226</v>
      </c>
    </row>
    <row r="7">
      <c r="A7" s="12" t="s">
        <v>30</v>
      </c>
      <c r="B7" s="29">
        <v>1.0</v>
      </c>
      <c r="C7" s="16" t="s">
        <v>20</v>
      </c>
      <c r="D7" s="16" t="s">
        <v>20</v>
      </c>
      <c r="E7" s="16" t="s">
        <v>20</v>
      </c>
      <c r="F7" s="16" t="s">
        <v>20</v>
      </c>
      <c r="G7" s="16" t="s">
        <v>20</v>
      </c>
      <c r="H7" s="16" t="s">
        <v>20</v>
      </c>
      <c r="I7" s="16" t="s">
        <v>20</v>
      </c>
      <c r="J7" s="16" t="s">
        <v>20</v>
      </c>
      <c r="K7" s="16" t="s">
        <v>20</v>
      </c>
      <c r="L7" s="16" t="s">
        <v>20</v>
      </c>
      <c r="M7" s="16" t="s">
        <v>20</v>
      </c>
      <c r="N7" s="13">
        <f t="shared" si="1"/>
        <v>11</v>
      </c>
      <c r="P7" s="19" t="s">
        <v>31</v>
      </c>
      <c r="Q7" s="20">
        <v>4.0</v>
      </c>
      <c r="R7" s="21">
        <v>0.0</v>
      </c>
      <c r="S7" s="21">
        <v>0.0</v>
      </c>
      <c r="T7" s="21">
        <v>0.0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21">
        <v>1.0</v>
      </c>
      <c r="AA7" s="21">
        <v>0.0</v>
      </c>
      <c r="AB7" s="21">
        <v>0.0</v>
      </c>
      <c r="AC7" s="21">
        <f t="shared" si="2"/>
        <v>1</v>
      </c>
    </row>
    <row r="8">
      <c r="A8" s="12" t="s">
        <v>32</v>
      </c>
      <c r="B8" s="29">
        <v>1.0</v>
      </c>
      <c r="C8" s="16" t="s">
        <v>20</v>
      </c>
      <c r="D8" s="16" t="s">
        <v>20</v>
      </c>
      <c r="E8" s="16" t="s">
        <v>20</v>
      </c>
      <c r="F8" s="16" t="s">
        <v>20</v>
      </c>
      <c r="G8" s="16" t="s">
        <v>20</v>
      </c>
      <c r="H8" s="16" t="s">
        <v>20</v>
      </c>
      <c r="I8" s="16" t="s">
        <v>20</v>
      </c>
      <c r="J8" s="16" t="s">
        <v>20</v>
      </c>
      <c r="K8" s="16" t="s">
        <v>20</v>
      </c>
      <c r="L8" s="16" t="s">
        <v>20</v>
      </c>
      <c r="M8" s="16" t="s">
        <v>20</v>
      </c>
      <c r="N8" s="13">
        <f t="shared" si="1"/>
        <v>11</v>
      </c>
      <c r="P8" s="19" t="s">
        <v>33</v>
      </c>
      <c r="Q8" s="20">
        <v>3.0</v>
      </c>
      <c r="R8" s="21">
        <v>0.0</v>
      </c>
      <c r="S8" s="21">
        <v>0.0</v>
      </c>
      <c r="T8" s="21">
        <v>0.0</v>
      </c>
      <c r="U8" s="21">
        <v>0.0</v>
      </c>
      <c r="V8" s="21">
        <v>0.0</v>
      </c>
      <c r="W8" s="21">
        <v>1.0</v>
      </c>
      <c r="X8" s="21">
        <v>0.0</v>
      </c>
      <c r="Y8" s="21">
        <v>0.0</v>
      </c>
      <c r="Z8" s="21">
        <v>0.0</v>
      </c>
      <c r="AA8" s="21">
        <v>0.0</v>
      </c>
      <c r="AB8" s="21">
        <v>0.0</v>
      </c>
      <c r="AC8" s="21">
        <f t="shared" si="2"/>
        <v>1</v>
      </c>
    </row>
    <row r="9">
      <c r="A9" s="12" t="s">
        <v>34</v>
      </c>
      <c r="B9" s="29">
        <v>1.0</v>
      </c>
      <c r="C9" s="16" t="s">
        <v>20</v>
      </c>
      <c r="D9" s="16" t="s">
        <v>28</v>
      </c>
      <c r="E9" s="16" t="s">
        <v>20</v>
      </c>
      <c r="F9" s="16" t="s">
        <v>20</v>
      </c>
      <c r="G9" s="16" t="s">
        <v>20</v>
      </c>
      <c r="H9" s="16" t="s">
        <v>20</v>
      </c>
      <c r="I9" s="16" t="s">
        <v>20</v>
      </c>
      <c r="J9" s="16" t="s">
        <v>20</v>
      </c>
      <c r="K9" s="16" t="s">
        <v>20</v>
      </c>
      <c r="L9" s="16" t="s">
        <v>20</v>
      </c>
      <c r="M9" s="16" t="s">
        <v>20</v>
      </c>
      <c r="N9" s="13">
        <f t="shared" si="1"/>
        <v>10</v>
      </c>
      <c r="P9" s="19" t="s">
        <v>35</v>
      </c>
      <c r="Q9" s="20">
        <v>4.0</v>
      </c>
      <c r="R9" s="20">
        <v>0.0</v>
      </c>
      <c r="S9" s="20">
        <v>0.0</v>
      </c>
      <c r="T9" s="20">
        <v>0.0</v>
      </c>
      <c r="U9" s="20">
        <v>0.0</v>
      </c>
      <c r="V9" s="20">
        <v>0.0</v>
      </c>
      <c r="W9" s="20">
        <v>0.0</v>
      </c>
      <c r="X9" s="20">
        <v>0.0</v>
      </c>
      <c r="Y9" s="20">
        <v>0.0</v>
      </c>
      <c r="Z9" s="20">
        <v>0.0</v>
      </c>
      <c r="AA9" s="20">
        <v>0.0</v>
      </c>
      <c r="AB9" s="20">
        <v>0.0</v>
      </c>
      <c r="AC9" s="20">
        <v>0.0</v>
      </c>
    </row>
    <row r="10">
      <c r="A10" s="12" t="s">
        <v>36</v>
      </c>
      <c r="B10" s="29">
        <v>1.0</v>
      </c>
      <c r="C10" s="16" t="s">
        <v>20</v>
      </c>
      <c r="D10" s="16" t="s">
        <v>20</v>
      </c>
      <c r="E10" s="16" t="s">
        <v>20</v>
      </c>
      <c r="F10" s="16" t="s">
        <v>20</v>
      </c>
      <c r="G10" s="16" t="s">
        <v>20</v>
      </c>
      <c r="H10" s="16" t="s">
        <v>20</v>
      </c>
      <c r="I10" s="16" t="s">
        <v>20</v>
      </c>
      <c r="J10" s="16" t="s">
        <v>20</v>
      </c>
      <c r="K10" s="16" t="s">
        <v>20</v>
      </c>
      <c r="L10" s="16" t="s">
        <v>20</v>
      </c>
      <c r="M10" s="16" t="s">
        <v>20</v>
      </c>
      <c r="N10" s="13">
        <f t="shared" si="1"/>
        <v>11</v>
      </c>
      <c r="P10" s="19" t="s">
        <v>37</v>
      </c>
      <c r="Q10" s="11"/>
      <c r="R10" s="20">
        <v>0.0</v>
      </c>
      <c r="S10" s="20">
        <v>0.0</v>
      </c>
      <c r="T10" s="20">
        <v>0.0</v>
      </c>
      <c r="U10" s="20">
        <v>0.0</v>
      </c>
      <c r="V10" s="20">
        <v>0.0</v>
      </c>
      <c r="W10" s="20">
        <v>0.0</v>
      </c>
      <c r="X10" s="20">
        <v>0.0</v>
      </c>
      <c r="Y10" s="20">
        <v>0.0</v>
      </c>
      <c r="Z10" s="20">
        <v>0.0</v>
      </c>
      <c r="AA10" s="20">
        <v>0.0</v>
      </c>
      <c r="AB10" s="20">
        <v>0.0</v>
      </c>
      <c r="AC10" s="20">
        <v>0.0</v>
      </c>
    </row>
    <row r="11">
      <c r="A11" s="12" t="s">
        <v>38</v>
      </c>
      <c r="B11" s="29">
        <v>1.0</v>
      </c>
      <c r="C11" s="16" t="s">
        <v>20</v>
      </c>
      <c r="D11" s="16" t="s">
        <v>20</v>
      </c>
      <c r="E11" s="16" t="s">
        <v>20</v>
      </c>
      <c r="F11" s="16" t="s">
        <v>20</v>
      </c>
      <c r="G11" s="16" t="s">
        <v>20</v>
      </c>
      <c r="H11" s="16" t="s">
        <v>20</v>
      </c>
      <c r="I11" s="16" t="s">
        <v>20</v>
      </c>
      <c r="J11" s="16" t="s">
        <v>20</v>
      </c>
      <c r="K11" s="16" t="s">
        <v>20</v>
      </c>
      <c r="L11" s="16" t="s">
        <v>28</v>
      </c>
      <c r="M11" s="16" t="s">
        <v>20</v>
      </c>
      <c r="N11" s="13">
        <f t="shared" si="1"/>
        <v>10</v>
      </c>
      <c r="P11" s="19" t="s">
        <v>39</v>
      </c>
      <c r="Q11" s="11"/>
      <c r="R11" s="20">
        <v>8.0</v>
      </c>
      <c r="S11" s="20">
        <v>7.0</v>
      </c>
      <c r="T11" s="20">
        <v>0.0</v>
      </c>
      <c r="U11" s="20">
        <v>0.0</v>
      </c>
      <c r="V11" s="20">
        <v>0.0</v>
      </c>
      <c r="W11" s="20">
        <v>0.0</v>
      </c>
      <c r="X11" s="20">
        <v>8.0</v>
      </c>
      <c r="Y11" s="20">
        <v>0.0</v>
      </c>
      <c r="Z11" s="20">
        <v>0.0</v>
      </c>
      <c r="AA11" s="20">
        <v>0.0</v>
      </c>
      <c r="AB11" s="20">
        <v>0.0</v>
      </c>
      <c r="AC11" s="20">
        <v>23.0</v>
      </c>
    </row>
    <row r="12">
      <c r="A12" s="12" t="s">
        <v>40</v>
      </c>
      <c r="B12" s="29">
        <v>1.0</v>
      </c>
      <c r="C12" s="16" t="s">
        <v>20</v>
      </c>
      <c r="D12" s="16" t="s">
        <v>20</v>
      </c>
      <c r="E12" s="16" t="s">
        <v>20</v>
      </c>
      <c r="F12" s="16" t="s">
        <v>20</v>
      </c>
      <c r="G12" s="16" t="s">
        <v>20</v>
      </c>
      <c r="H12" s="16" t="s">
        <v>20</v>
      </c>
      <c r="I12" s="16" t="s">
        <v>20</v>
      </c>
      <c r="J12" s="16" t="s">
        <v>20</v>
      </c>
      <c r="K12" s="16" t="s">
        <v>20</v>
      </c>
      <c r="L12" s="16" t="s">
        <v>28</v>
      </c>
      <c r="M12" s="16" t="s">
        <v>20</v>
      </c>
      <c r="N12" s="13">
        <f t="shared" si="1"/>
        <v>10</v>
      </c>
      <c r="P12" s="19" t="s">
        <v>41</v>
      </c>
      <c r="Q12" s="11"/>
      <c r="R12" s="20">
        <v>6.0</v>
      </c>
      <c r="S12" s="20">
        <v>6.0</v>
      </c>
      <c r="T12" s="20">
        <v>3.0</v>
      </c>
      <c r="U12" s="20">
        <v>0.0</v>
      </c>
      <c r="V12" s="20">
        <v>0.0</v>
      </c>
      <c r="W12" s="20">
        <v>0.0</v>
      </c>
      <c r="X12" s="20">
        <v>3.0</v>
      </c>
      <c r="Y12" s="20">
        <v>0.0</v>
      </c>
      <c r="Z12" s="20">
        <v>3.0</v>
      </c>
      <c r="AA12" s="20">
        <v>0.0</v>
      </c>
      <c r="AB12" s="20">
        <v>0.0</v>
      </c>
      <c r="AC12" s="20">
        <v>21.0</v>
      </c>
    </row>
    <row r="13">
      <c r="A13" s="26" t="s">
        <v>165</v>
      </c>
      <c r="B13" s="29">
        <v>2.0</v>
      </c>
      <c r="C13" s="16" t="s">
        <v>166</v>
      </c>
      <c r="D13" s="16" t="s">
        <v>166</v>
      </c>
      <c r="E13" s="16" t="s">
        <v>166</v>
      </c>
      <c r="F13" s="16" t="s">
        <v>166</v>
      </c>
      <c r="G13" s="16" t="s">
        <v>166</v>
      </c>
      <c r="H13" s="16" t="s">
        <v>166</v>
      </c>
      <c r="I13" s="16" t="s">
        <v>166</v>
      </c>
      <c r="J13" s="16" t="s">
        <v>166</v>
      </c>
      <c r="K13" s="16" t="s">
        <v>166</v>
      </c>
      <c r="L13" s="16" t="s">
        <v>166</v>
      </c>
      <c r="M13" s="16" t="s">
        <v>166</v>
      </c>
      <c r="N13" s="13">
        <f t="array" ref="N13">COUNTIF(C13:M13, "קיים") * 2 + COUNTIF(C13:M13,{" 1 חוסר","1 בלאי"})</f>
        <v>11</v>
      </c>
      <c r="P13" s="19" t="s">
        <v>44</v>
      </c>
      <c r="Q13" s="20">
        <v>6.0</v>
      </c>
      <c r="R13" s="20">
        <v>6.0</v>
      </c>
      <c r="S13" s="20">
        <v>6.0</v>
      </c>
      <c r="T13" s="20">
        <v>6.0</v>
      </c>
      <c r="U13" s="20">
        <v>6.0</v>
      </c>
      <c r="V13" s="20">
        <v>0.0</v>
      </c>
      <c r="W13" s="20">
        <v>6.0</v>
      </c>
      <c r="X13" s="20">
        <v>6.0</v>
      </c>
      <c r="Y13" s="20">
        <v>6.0</v>
      </c>
      <c r="Z13" s="20">
        <v>6.0</v>
      </c>
      <c r="AA13" s="20">
        <v>6.0</v>
      </c>
      <c r="AB13" s="20">
        <v>6.0</v>
      </c>
      <c r="AC13" s="20">
        <v>60.0</v>
      </c>
    </row>
    <row r="14">
      <c r="A14" s="12" t="s">
        <v>45</v>
      </c>
      <c r="B14" s="29">
        <v>1.0</v>
      </c>
      <c r="C14" s="16" t="s">
        <v>20</v>
      </c>
      <c r="D14" s="16" t="s">
        <v>20</v>
      </c>
      <c r="E14" s="16" t="s">
        <v>20</v>
      </c>
      <c r="F14" s="16" t="s">
        <v>20</v>
      </c>
      <c r="G14" s="16" t="s">
        <v>20</v>
      </c>
      <c r="H14" s="16" t="s">
        <v>20</v>
      </c>
      <c r="I14" s="16" t="s">
        <v>20</v>
      </c>
      <c r="J14" s="16" t="s">
        <v>20</v>
      </c>
      <c r="K14" s="16" t="s">
        <v>28</v>
      </c>
      <c r="L14" s="16" t="s">
        <v>20</v>
      </c>
      <c r="M14" s="16" t="s">
        <v>20</v>
      </c>
      <c r="N14" s="13">
        <f t="shared" ref="N14:N18" si="3">COUNTIF(C14:M14, "קיים")</f>
        <v>10</v>
      </c>
      <c r="P14" s="19" t="s">
        <v>46</v>
      </c>
      <c r="Q14" s="20">
        <v>1.0</v>
      </c>
      <c r="R14" s="20">
        <v>1.0</v>
      </c>
      <c r="S14" s="20">
        <v>1.0</v>
      </c>
      <c r="T14" s="20">
        <v>1.0</v>
      </c>
      <c r="U14" s="20">
        <v>1.0</v>
      </c>
      <c r="V14" s="20">
        <v>0.0</v>
      </c>
      <c r="W14" s="20">
        <v>0.0</v>
      </c>
      <c r="X14" s="20">
        <v>1.0</v>
      </c>
      <c r="Y14" s="20">
        <v>1.0</v>
      </c>
      <c r="Z14" s="20">
        <v>1.0</v>
      </c>
      <c r="AA14" s="20">
        <v>0.0</v>
      </c>
      <c r="AB14" s="20">
        <v>1.0</v>
      </c>
      <c r="AC14" s="20">
        <v>8.0</v>
      </c>
    </row>
    <row r="15">
      <c r="A15" s="12" t="s">
        <v>47</v>
      </c>
      <c r="B15" s="29">
        <v>1.0</v>
      </c>
      <c r="C15" s="16" t="s">
        <v>20</v>
      </c>
      <c r="D15" s="16" t="s">
        <v>20</v>
      </c>
      <c r="E15" s="16" t="s">
        <v>20</v>
      </c>
      <c r="F15" s="16" t="s">
        <v>20</v>
      </c>
      <c r="G15" s="16" t="s">
        <v>20</v>
      </c>
      <c r="H15" s="16" t="s">
        <v>20</v>
      </c>
      <c r="I15" s="16" t="s">
        <v>28</v>
      </c>
      <c r="J15" s="16" t="s">
        <v>20</v>
      </c>
      <c r="K15" s="16" t="s">
        <v>20</v>
      </c>
      <c r="L15" s="16" t="s">
        <v>28</v>
      </c>
      <c r="M15" s="16" t="s">
        <v>20</v>
      </c>
      <c r="N15" s="13">
        <f t="shared" si="3"/>
        <v>9</v>
      </c>
      <c r="P15" s="19" t="s">
        <v>48</v>
      </c>
      <c r="Q15" s="20">
        <v>1.0</v>
      </c>
      <c r="R15" s="20">
        <v>0.0</v>
      </c>
      <c r="S15" s="20">
        <v>0.0</v>
      </c>
      <c r="T15" s="20">
        <v>0.0</v>
      </c>
      <c r="U15" s="20">
        <v>0.0</v>
      </c>
      <c r="V15" s="20">
        <v>0.0</v>
      </c>
      <c r="W15" s="20">
        <v>0.0</v>
      </c>
      <c r="X15" s="20">
        <v>0.0</v>
      </c>
      <c r="Y15" s="20">
        <v>1.0</v>
      </c>
      <c r="Z15" s="20">
        <v>0.0</v>
      </c>
      <c r="AA15" s="20">
        <v>0.0</v>
      </c>
      <c r="AB15" s="20">
        <v>1.0</v>
      </c>
      <c r="AC15" s="20">
        <v>2.0</v>
      </c>
    </row>
    <row r="16">
      <c r="A16" s="12" t="s">
        <v>49</v>
      </c>
      <c r="B16" s="29">
        <v>1.0</v>
      </c>
      <c r="C16" s="16" t="s">
        <v>24</v>
      </c>
      <c r="D16" s="16" t="s">
        <v>20</v>
      </c>
      <c r="E16" s="16" t="s">
        <v>20</v>
      </c>
      <c r="F16" s="16" t="s">
        <v>20</v>
      </c>
      <c r="G16" s="16" t="s">
        <v>20</v>
      </c>
      <c r="H16" s="16" t="s">
        <v>20</v>
      </c>
      <c r="I16" s="16" t="s">
        <v>20</v>
      </c>
      <c r="J16" s="16" t="s">
        <v>20</v>
      </c>
      <c r="K16" s="16" t="s">
        <v>20</v>
      </c>
      <c r="L16" s="16" t="s">
        <v>28</v>
      </c>
      <c r="M16" s="16" t="s">
        <v>20</v>
      </c>
      <c r="N16" s="13">
        <f t="shared" si="3"/>
        <v>9</v>
      </c>
    </row>
    <row r="17">
      <c r="A17" s="12" t="s">
        <v>50</v>
      </c>
      <c r="B17" s="29">
        <v>1.0</v>
      </c>
      <c r="C17" s="16" t="s">
        <v>20</v>
      </c>
      <c r="D17" s="16" t="s">
        <v>20</v>
      </c>
      <c r="E17" s="16" t="s">
        <v>20</v>
      </c>
      <c r="F17" s="16" t="s">
        <v>20</v>
      </c>
      <c r="G17" s="16" t="s">
        <v>20</v>
      </c>
      <c r="H17" s="16" t="s">
        <v>20</v>
      </c>
      <c r="I17" s="16" t="s">
        <v>20</v>
      </c>
      <c r="J17" s="16" t="s">
        <v>20</v>
      </c>
      <c r="K17" s="16" t="s">
        <v>20</v>
      </c>
      <c r="L17" s="16" t="s">
        <v>20</v>
      </c>
      <c r="M17" s="16" t="s">
        <v>20</v>
      </c>
      <c r="N17" s="13">
        <f t="shared" si="3"/>
        <v>11</v>
      </c>
    </row>
    <row r="18">
      <c r="A18" s="12" t="s">
        <v>51</v>
      </c>
      <c r="B18" s="29">
        <v>1.0</v>
      </c>
      <c r="C18" s="16" t="s">
        <v>20</v>
      </c>
      <c r="D18" s="16" t="s">
        <v>20</v>
      </c>
      <c r="E18" s="16" t="s">
        <v>20</v>
      </c>
      <c r="F18" s="16" t="s">
        <v>20</v>
      </c>
      <c r="G18" s="16" t="s">
        <v>20</v>
      </c>
      <c r="H18" s="16" t="s">
        <v>20</v>
      </c>
      <c r="I18" s="16" t="s">
        <v>20</v>
      </c>
      <c r="J18" s="16" t="s">
        <v>20</v>
      </c>
      <c r="K18" s="16" t="s">
        <v>20</v>
      </c>
      <c r="L18" s="16" t="s">
        <v>20</v>
      </c>
      <c r="M18" s="16" t="s">
        <v>20</v>
      </c>
      <c r="N18" s="13">
        <f t="shared" si="3"/>
        <v>11</v>
      </c>
      <c r="P18" s="1" t="s">
        <v>52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6"/>
    </row>
    <row r="19">
      <c r="A19" s="12" t="s">
        <v>167</v>
      </c>
      <c r="B19" s="29">
        <v>9.0</v>
      </c>
      <c r="C19" s="57" t="s">
        <v>20</v>
      </c>
      <c r="D19" s="21" t="s">
        <v>20</v>
      </c>
      <c r="E19" s="21" t="s">
        <v>20</v>
      </c>
      <c r="F19" s="16" t="s">
        <v>168</v>
      </c>
      <c r="G19" s="21" t="s">
        <v>20</v>
      </c>
      <c r="H19" s="16" t="s">
        <v>169</v>
      </c>
      <c r="I19" s="21" t="s">
        <v>20</v>
      </c>
      <c r="J19" s="21" t="s">
        <v>20</v>
      </c>
      <c r="K19" s="16" t="s">
        <v>170</v>
      </c>
      <c r="L19" s="21" t="s">
        <v>20</v>
      </c>
      <c r="M19" s="16" t="s">
        <v>168</v>
      </c>
      <c r="N19" s="13"/>
      <c r="P19" s="27"/>
      <c r="Q19" s="8" t="s">
        <v>17</v>
      </c>
      <c r="R19" s="8" t="s">
        <v>6</v>
      </c>
      <c r="S19" s="8" t="s">
        <v>7</v>
      </c>
      <c r="T19" s="8" t="s">
        <v>8</v>
      </c>
      <c r="U19" s="8" t="s">
        <v>9</v>
      </c>
      <c r="V19" s="8" t="s">
        <v>10</v>
      </c>
      <c r="W19" s="8" t="s">
        <v>11</v>
      </c>
      <c r="X19" s="8" t="s">
        <v>12</v>
      </c>
      <c r="Y19" s="8" t="s">
        <v>13</v>
      </c>
      <c r="Z19" s="8" t="s">
        <v>14</v>
      </c>
      <c r="AA19" s="8" t="s">
        <v>15</v>
      </c>
      <c r="AB19" s="8" t="s">
        <v>16</v>
      </c>
      <c r="AC19" s="8" t="s">
        <v>18</v>
      </c>
    </row>
    <row r="20">
      <c r="A20" s="28" t="s">
        <v>62</v>
      </c>
      <c r="B20" s="29">
        <v>1.0</v>
      </c>
      <c r="C20" s="16" t="s">
        <v>20</v>
      </c>
      <c r="D20" s="16" t="s">
        <v>20</v>
      </c>
      <c r="E20" s="16" t="s">
        <v>20</v>
      </c>
      <c r="F20" s="16" t="s">
        <v>20</v>
      </c>
      <c r="G20" s="16" t="s">
        <v>20</v>
      </c>
      <c r="H20" s="16" t="s">
        <v>20</v>
      </c>
      <c r="I20" s="16" t="s">
        <v>20</v>
      </c>
      <c r="J20" s="16" t="s">
        <v>20</v>
      </c>
      <c r="K20" s="16" t="s">
        <v>28</v>
      </c>
      <c r="L20" s="16" t="s">
        <v>20</v>
      </c>
      <c r="M20" s="16" t="s">
        <v>20</v>
      </c>
      <c r="N20" s="13">
        <f t="shared" ref="N20:N68" si="4">COUNTIF(C20:M20, "קיים")</f>
        <v>10</v>
      </c>
      <c r="P20" s="19" t="s">
        <v>63</v>
      </c>
      <c r="Q20" s="29">
        <v>2.0</v>
      </c>
      <c r="R20" s="29">
        <v>1.0</v>
      </c>
      <c r="S20" s="29">
        <v>2.0</v>
      </c>
      <c r="T20" s="29">
        <v>2.0</v>
      </c>
      <c r="U20" s="29">
        <v>1.0</v>
      </c>
      <c r="V20" s="29">
        <v>0.0</v>
      </c>
      <c r="W20" s="29">
        <v>2.0</v>
      </c>
      <c r="X20" s="29">
        <v>2.0</v>
      </c>
      <c r="Y20" s="29">
        <v>2.0</v>
      </c>
      <c r="Z20" s="29">
        <v>1.0</v>
      </c>
      <c r="AA20" s="29">
        <v>1.0</v>
      </c>
      <c r="AB20" s="29">
        <v>2.0</v>
      </c>
      <c r="AC20" s="11">
        <f>SUM(R20:AB20)</f>
        <v>16</v>
      </c>
    </row>
    <row r="21">
      <c r="A21" s="28" t="s">
        <v>64</v>
      </c>
      <c r="B21" s="29">
        <v>1.0</v>
      </c>
      <c r="C21" s="16" t="s">
        <v>20</v>
      </c>
      <c r="D21" s="16" t="s">
        <v>20</v>
      </c>
      <c r="E21" s="16" t="s">
        <v>20</v>
      </c>
      <c r="F21" s="16" t="s">
        <v>20</v>
      </c>
      <c r="G21" s="16" t="s">
        <v>20</v>
      </c>
      <c r="H21" s="16" t="s">
        <v>20</v>
      </c>
      <c r="I21" s="16" t="s">
        <v>20</v>
      </c>
      <c r="J21" s="16" t="s">
        <v>20</v>
      </c>
      <c r="K21" s="16" t="s">
        <v>20</v>
      </c>
      <c r="L21" s="16" t="s">
        <v>20</v>
      </c>
      <c r="M21" s="16" t="s">
        <v>20</v>
      </c>
      <c r="N21" s="13">
        <f t="shared" si="4"/>
        <v>11</v>
      </c>
      <c r="P21" s="19" t="s">
        <v>65</v>
      </c>
      <c r="Q21" s="29">
        <v>2.0</v>
      </c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11"/>
    </row>
    <row r="22">
      <c r="A22" s="28" t="s">
        <v>66</v>
      </c>
      <c r="B22" s="29">
        <v>1.0</v>
      </c>
      <c r="C22" s="16" t="s">
        <v>20</v>
      </c>
      <c r="D22" s="16" t="s">
        <v>20</v>
      </c>
      <c r="E22" s="16" t="s">
        <v>20</v>
      </c>
      <c r="F22" s="16" t="s">
        <v>20</v>
      </c>
      <c r="G22" s="16" t="s">
        <v>20</v>
      </c>
      <c r="H22" s="16" t="s">
        <v>20</v>
      </c>
      <c r="I22" s="16" t="s">
        <v>28</v>
      </c>
      <c r="J22" s="16" t="s">
        <v>20</v>
      </c>
      <c r="K22" s="16" t="s">
        <v>20</v>
      </c>
      <c r="L22" s="16" t="s">
        <v>20</v>
      </c>
      <c r="M22" s="16" t="s">
        <v>20</v>
      </c>
      <c r="N22" s="13">
        <f t="shared" si="4"/>
        <v>10</v>
      </c>
      <c r="P22" s="19" t="s">
        <v>67</v>
      </c>
      <c r="Q22" s="29">
        <v>2.0</v>
      </c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11"/>
    </row>
    <row r="23">
      <c r="A23" s="28" t="s">
        <v>68</v>
      </c>
      <c r="B23" s="29">
        <v>1.0</v>
      </c>
      <c r="C23" s="16" t="s">
        <v>20</v>
      </c>
      <c r="D23" s="16" t="s">
        <v>20</v>
      </c>
      <c r="E23" s="16" t="s">
        <v>20</v>
      </c>
      <c r="F23" s="16" t="s">
        <v>20</v>
      </c>
      <c r="G23" s="16" t="s">
        <v>20</v>
      </c>
      <c r="H23" s="16" t="s">
        <v>20</v>
      </c>
      <c r="I23" s="16" t="s">
        <v>20</v>
      </c>
      <c r="J23" s="16" t="s">
        <v>20</v>
      </c>
      <c r="K23" s="16" t="s">
        <v>20</v>
      </c>
      <c r="L23" s="16" t="s">
        <v>20</v>
      </c>
      <c r="M23" s="16" t="s">
        <v>20</v>
      </c>
      <c r="N23" s="13">
        <f t="shared" si="4"/>
        <v>11</v>
      </c>
      <c r="P23" s="19" t="s">
        <v>69</v>
      </c>
      <c r="Q23" s="29">
        <v>2.0</v>
      </c>
      <c r="R23" s="13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28" t="s">
        <v>70</v>
      </c>
      <c r="B24" s="29">
        <v>1.0</v>
      </c>
      <c r="C24" s="16" t="s">
        <v>20</v>
      </c>
      <c r="D24" s="16" t="s">
        <v>20</v>
      </c>
      <c r="E24" s="16" t="s">
        <v>20</v>
      </c>
      <c r="F24" s="16" t="s">
        <v>20</v>
      </c>
      <c r="G24" s="16" t="s">
        <v>20</v>
      </c>
      <c r="H24" s="16" t="s">
        <v>20</v>
      </c>
      <c r="I24" s="16" t="s">
        <v>20</v>
      </c>
      <c r="J24" s="16" t="s">
        <v>20</v>
      </c>
      <c r="K24" s="16" t="s">
        <v>20</v>
      </c>
      <c r="L24" s="16" t="s">
        <v>20</v>
      </c>
      <c r="M24" s="16" t="s">
        <v>20</v>
      </c>
      <c r="N24" s="13">
        <f t="shared" si="4"/>
        <v>11</v>
      </c>
      <c r="P24" s="19" t="s">
        <v>71</v>
      </c>
      <c r="Q24" s="29">
        <v>1.0</v>
      </c>
      <c r="R24" s="13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>
        <f>SUM(R24:AB24)</f>
        <v>0</v>
      </c>
    </row>
    <row r="25">
      <c r="A25" s="28" t="s">
        <v>72</v>
      </c>
      <c r="B25" s="29">
        <v>1.0</v>
      </c>
      <c r="C25" s="16" t="s">
        <v>20</v>
      </c>
      <c r="D25" s="16" t="s">
        <v>20</v>
      </c>
      <c r="E25" s="16" t="s">
        <v>20</v>
      </c>
      <c r="F25" s="16" t="s">
        <v>28</v>
      </c>
      <c r="G25" s="16" t="s">
        <v>20</v>
      </c>
      <c r="H25" s="16" t="s">
        <v>20</v>
      </c>
      <c r="I25" s="16" t="s">
        <v>20</v>
      </c>
      <c r="J25" s="16" t="s">
        <v>20</v>
      </c>
      <c r="K25" s="16" t="s">
        <v>28</v>
      </c>
      <c r="L25" s="16" t="s">
        <v>28</v>
      </c>
      <c r="M25" s="16" t="s">
        <v>20</v>
      </c>
      <c r="N25" s="13">
        <f t="shared" si="4"/>
        <v>8</v>
      </c>
      <c r="P25" s="30"/>
      <c r="Q25" s="31"/>
      <c r="R25" s="31"/>
      <c r="S25" s="31"/>
    </row>
    <row r="26">
      <c r="A26" s="28" t="s">
        <v>73</v>
      </c>
      <c r="B26" s="29">
        <v>1.0</v>
      </c>
      <c r="C26" s="16" t="s">
        <v>20</v>
      </c>
      <c r="D26" s="16" t="s">
        <v>20</v>
      </c>
      <c r="E26" s="16" t="s">
        <v>20</v>
      </c>
      <c r="F26" s="16" t="s">
        <v>20</v>
      </c>
      <c r="G26" s="16" t="s">
        <v>20</v>
      </c>
      <c r="H26" s="16" t="s">
        <v>20</v>
      </c>
      <c r="I26" s="16" t="s">
        <v>20</v>
      </c>
      <c r="J26" s="16" t="s">
        <v>20</v>
      </c>
      <c r="K26" s="16" t="s">
        <v>20</v>
      </c>
      <c r="L26" s="16" t="s">
        <v>20</v>
      </c>
      <c r="M26" s="16" t="s">
        <v>20</v>
      </c>
      <c r="N26" s="13">
        <f t="shared" si="4"/>
        <v>11</v>
      </c>
      <c r="P26" s="32" t="s">
        <v>74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>
      <c r="A27" s="28" t="s">
        <v>75</v>
      </c>
      <c r="B27" s="29">
        <v>1.0</v>
      </c>
      <c r="C27" s="16" t="s">
        <v>20</v>
      </c>
      <c r="D27" s="16" t="s">
        <v>20</v>
      </c>
      <c r="E27" s="16" t="s">
        <v>20</v>
      </c>
      <c r="F27" s="16" t="s">
        <v>20</v>
      </c>
      <c r="G27" s="16" t="s">
        <v>20</v>
      </c>
      <c r="H27" s="16" t="s">
        <v>20</v>
      </c>
      <c r="I27" s="16" t="s">
        <v>20</v>
      </c>
      <c r="J27" s="16" t="s">
        <v>20</v>
      </c>
      <c r="K27" s="16" t="s">
        <v>20</v>
      </c>
      <c r="L27" s="16" t="s">
        <v>20</v>
      </c>
      <c r="M27" s="16" t="s">
        <v>20</v>
      </c>
      <c r="N27" s="13">
        <f t="shared" si="4"/>
        <v>11</v>
      </c>
      <c r="P27" s="33"/>
      <c r="Q27" s="8" t="s">
        <v>17</v>
      </c>
      <c r="R27" s="8" t="s">
        <v>6</v>
      </c>
      <c r="S27" s="8" t="s">
        <v>7</v>
      </c>
      <c r="T27" s="8" t="s">
        <v>8</v>
      </c>
      <c r="U27" s="8" t="s">
        <v>9</v>
      </c>
      <c r="V27" s="8" t="s">
        <v>10</v>
      </c>
      <c r="W27" s="8" t="s">
        <v>11</v>
      </c>
      <c r="X27" s="8" t="s">
        <v>12</v>
      </c>
      <c r="Y27" s="8" t="s">
        <v>13</v>
      </c>
      <c r="Z27" s="8" t="s">
        <v>14</v>
      </c>
      <c r="AA27" s="8" t="s">
        <v>15</v>
      </c>
      <c r="AB27" s="8" t="s">
        <v>16</v>
      </c>
    </row>
    <row r="28">
      <c r="A28" s="28" t="s">
        <v>76</v>
      </c>
      <c r="B28" s="29">
        <v>1.0</v>
      </c>
      <c r="C28" s="16" t="s">
        <v>28</v>
      </c>
      <c r="D28" s="16" t="s">
        <v>28</v>
      </c>
      <c r="E28" s="16" t="s">
        <v>28</v>
      </c>
      <c r="F28" s="16" t="s">
        <v>28</v>
      </c>
      <c r="G28" s="16" t="s">
        <v>28</v>
      </c>
      <c r="H28" s="16" t="s">
        <v>28</v>
      </c>
      <c r="I28" s="16" t="s">
        <v>28</v>
      </c>
      <c r="J28" s="16" t="s">
        <v>28</v>
      </c>
      <c r="K28" s="16" t="s">
        <v>28</v>
      </c>
      <c r="L28" s="16" t="s">
        <v>28</v>
      </c>
      <c r="M28" s="16" t="s">
        <v>28</v>
      </c>
      <c r="N28" s="13">
        <f t="shared" si="4"/>
        <v>0</v>
      </c>
      <c r="P28" s="34" t="s">
        <v>77</v>
      </c>
      <c r="Q28" s="20">
        <v>1.0</v>
      </c>
      <c r="R28" s="20">
        <v>1.0</v>
      </c>
      <c r="S28" s="20">
        <v>1.0</v>
      </c>
      <c r="T28" s="20">
        <v>1.0</v>
      </c>
      <c r="U28" s="20">
        <v>1.0</v>
      </c>
      <c r="V28" s="20">
        <v>1.0</v>
      </c>
      <c r="W28" s="20">
        <v>1.0</v>
      </c>
      <c r="X28" s="20">
        <v>1.0</v>
      </c>
      <c r="Y28" s="20">
        <v>1.0</v>
      </c>
      <c r="Z28" s="20">
        <v>1.0</v>
      </c>
      <c r="AA28" s="20">
        <v>1.0</v>
      </c>
      <c r="AB28" s="20">
        <v>1.0</v>
      </c>
    </row>
    <row r="29">
      <c r="A29" s="28" t="s">
        <v>78</v>
      </c>
      <c r="B29" s="29">
        <v>1.0</v>
      </c>
      <c r="C29" s="16" t="s">
        <v>20</v>
      </c>
      <c r="D29" s="16" t="s">
        <v>24</v>
      </c>
      <c r="E29" s="16" t="s">
        <v>20</v>
      </c>
      <c r="F29" s="16" t="s">
        <v>20</v>
      </c>
      <c r="G29" s="16" t="s">
        <v>20</v>
      </c>
      <c r="H29" s="16" t="s">
        <v>20</v>
      </c>
      <c r="I29" s="16" t="s">
        <v>20</v>
      </c>
      <c r="J29" s="16" t="s">
        <v>20</v>
      </c>
      <c r="K29" s="16" t="s">
        <v>20</v>
      </c>
      <c r="L29" s="16" t="s">
        <v>20</v>
      </c>
      <c r="M29" s="16" t="s">
        <v>20</v>
      </c>
      <c r="N29" s="13">
        <f t="shared" si="4"/>
        <v>10</v>
      </c>
      <c r="P29" s="34" t="s">
        <v>79</v>
      </c>
      <c r="Q29" s="20">
        <v>5.0</v>
      </c>
      <c r="R29" s="20">
        <v>5.0</v>
      </c>
      <c r="S29" s="20">
        <v>5.0</v>
      </c>
      <c r="T29" s="20">
        <v>5.0</v>
      </c>
      <c r="U29" s="20">
        <v>5.0</v>
      </c>
      <c r="V29" s="20">
        <v>5.0</v>
      </c>
      <c r="W29" s="20">
        <v>5.0</v>
      </c>
      <c r="X29" s="20">
        <v>5.0</v>
      </c>
      <c r="Y29" s="20">
        <v>5.0</v>
      </c>
      <c r="Z29" s="20">
        <v>5.0</v>
      </c>
      <c r="AA29" s="20">
        <v>5.0</v>
      </c>
      <c r="AB29" s="20">
        <v>5.0</v>
      </c>
    </row>
    <row r="30">
      <c r="A30" s="28" t="s">
        <v>80</v>
      </c>
      <c r="B30" s="29">
        <v>1.0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28</v>
      </c>
      <c r="L30" s="16" t="s">
        <v>20</v>
      </c>
      <c r="M30" s="16" t="s">
        <v>20</v>
      </c>
      <c r="N30" s="13">
        <f t="shared" si="4"/>
        <v>10</v>
      </c>
      <c r="P30" s="34" t="s">
        <v>81</v>
      </c>
      <c r="Q30" s="20">
        <v>5.0</v>
      </c>
      <c r="R30" s="20">
        <v>5.0</v>
      </c>
      <c r="S30" s="20">
        <v>5.0</v>
      </c>
      <c r="T30" s="20">
        <v>5.0</v>
      </c>
      <c r="U30" s="20">
        <v>5.0</v>
      </c>
      <c r="V30" s="20">
        <v>5.0</v>
      </c>
      <c r="W30" s="20">
        <v>5.0</v>
      </c>
      <c r="X30" s="20">
        <v>5.0</v>
      </c>
      <c r="Y30" s="20">
        <v>5.0</v>
      </c>
      <c r="Z30" s="20">
        <v>5.0</v>
      </c>
      <c r="AA30" s="20">
        <v>5.0</v>
      </c>
      <c r="AB30" s="20">
        <v>5.0</v>
      </c>
    </row>
    <row r="31">
      <c r="A31" s="28" t="s">
        <v>82</v>
      </c>
      <c r="B31" s="29">
        <v>1.0</v>
      </c>
      <c r="C31" s="16" t="s">
        <v>20</v>
      </c>
      <c r="D31" s="16" t="s">
        <v>20</v>
      </c>
      <c r="E31" s="16" t="s">
        <v>20</v>
      </c>
      <c r="F31" s="16" t="s">
        <v>28</v>
      </c>
      <c r="G31" s="16" t="s">
        <v>20</v>
      </c>
      <c r="H31" s="16" t="s">
        <v>20</v>
      </c>
      <c r="I31" s="16" t="s">
        <v>20</v>
      </c>
      <c r="J31" s="16" t="s">
        <v>20</v>
      </c>
      <c r="K31" s="16" t="s">
        <v>28</v>
      </c>
      <c r="L31" s="16" t="s">
        <v>20</v>
      </c>
      <c r="M31" s="16" t="s">
        <v>20</v>
      </c>
      <c r="N31" s="13">
        <f t="shared" si="4"/>
        <v>9</v>
      </c>
      <c r="P31" s="34" t="s">
        <v>83</v>
      </c>
      <c r="Q31" s="20">
        <v>1.0</v>
      </c>
      <c r="R31" s="20">
        <v>1.0</v>
      </c>
      <c r="S31" s="20">
        <v>1.0</v>
      </c>
      <c r="T31" s="20">
        <v>1.0</v>
      </c>
      <c r="U31" s="20">
        <v>1.0</v>
      </c>
      <c r="V31" s="20">
        <v>1.0</v>
      </c>
      <c r="W31" s="20">
        <v>1.0</v>
      </c>
      <c r="X31" s="20">
        <v>1.0</v>
      </c>
      <c r="Y31" s="20">
        <v>1.0</v>
      </c>
      <c r="Z31" s="20">
        <v>1.0</v>
      </c>
      <c r="AA31" s="20">
        <v>1.0</v>
      </c>
      <c r="AB31" s="20">
        <v>1.0</v>
      </c>
    </row>
    <row r="32">
      <c r="A32" s="28" t="s">
        <v>84</v>
      </c>
      <c r="B32" s="29">
        <v>1.0</v>
      </c>
      <c r="C32" s="16" t="s">
        <v>20</v>
      </c>
      <c r="D32" s="16" t="s">
        <v>20</v>
      </c>
      <c r="E32" s="16" t="s">
        <v>20</v>
      </c>
      <c r="F32" s="16" t="s">
        <v>28</v>
      </c>
      <c r="G32" s="16" t="s">
        <v>28</v>
      </c>
      <c r="H32" s="16" t="s">
        <v>28</v>
      </c>
      <c r="I32" s="16" t="s">
        <v>20</v>
      </c>
      <c r="J32" s="16" t="s">
        <v>20</v>
      </c>
      <c r="K32" s="16" t="s">
        <v>28</v>
      </c>
      <c r="L32" s="16" t="s">
        <v>20</v>
      </c>
      <c r="M32" s="16" t="s">
        <v>28</v>
      </c>
      <c r="N32" s="13">
        <f t="shared" si="4"/>
        <v>6</v>
      </c>
      <c r="P32" s="34" t="s">
        <v>85</v>
      </c>
      <c r="Q32" s="20">
        <v>1.0</v>
      </c>
      <c r="R32" s="20">
        <v>1.0</v>
      </c>
      <c r="S32" s="20">
        <v>1.0</v>
      </c>
      <c r="T32" s="20">
        <v>1.0</v>
      </c>
      <c r="U32" s="20">
        <v>1.0</v>
      </c>
      <c r="V32" s="20">
        <v>1.0</v>
      </c>
      <c r="W32" s="20">
        <v>1.0</v>
      </c>
      <c r="X32" s="20">
        <v>1.0</v>
      </c>
      <c r="Y32" s="20">
        <v>1.0</v>
      </c>
      <c r="Z32" s="20">
        <v>1.0</v>
      </c>
      <c r="AA32" s="20">
        <v>1.0</v>
      </c>
      <c r="AB32" s="20">
        <v>1.0</v>
      </c>
    </row>
    <row r="33">
      <c r="A33" s="28" t="s">
        <v>86</v>
      </c>
      <c r="B33" s="29">
        <v>1.0</v>
      </c>
      <c r="C33" s="16" t="s">
        <v>20</v>
      </c>
      <c r="D33" s="16" t="s">
        <v>20</v>
      </c>
      <c r="E33" s="16" t="s">
        <v>20</v>
      </c>
      <c r="F33" s="16" t="s">
        <v>28</v>
      </c>
      <c r="G33" s="16" t="s">
        <v>20</v>
      </c>
      <c r="H33" s="16" t="s">
        <v>20</v>
      </c>
      <c r="I33" s="16" t="s">
        <v>20</v>
      </c>
      <c r="J33" s="16" t="s">
        <v>20</v>
      </c>
      <c r="K33" s="16" t="s">
        <v>20</v>
      </c>
      <c r="L33" s="16" t="s">
        <v>20</v>
      </c>
      <c r="M33" s="16" t="s">
        <v>28</v>
      </c>
      <c r="N33" s="13">
        <f t="shared" si="4"/>
        <v>9</v>
      </c>
      <c r="P33" s="34" t="s">
        <v>87</v>
      </c>
      <c r="Q33" s="20">
        <v>1.0</v>
      </c>
      <c r="R33" s="20">
        <v>1.0</v>
      </c>
      <c r="S33" s="20">
        <v>1.0</v>
      </c>
      <c r="T33" s="20">
        <v>1.0</v>
      </c>
      <c r="U33" s="20">
        <v>1.0</v>
      </c>
      <c r="V33" s="20">
        <v>1.0</v>
      </c>
      <c r="W33" s="20">
        <v>1.0</v>
      </c>
      <c r="X33" s="20">
        <v>1.0</v>
      </c>
      <c r="Y33" s="20">
        <v>1.0</v>
      </c>
      <c r="Z33" s="20">
        <v>1.0</v>
      </c>
      <c r="AA33" s="20">
        <v>1.0</v>
      </c>
      <c r="AB33" s="20">
        <v>1.0</v>
      </c>
    </row>
    <row r="34">
      <c r="A34" s="28" t="s">
        <v>88</v>
      </c>
      <c r="B34" s="29">
        <v>1.0</v>
      </c>
      <c r="C34" s="16" t="s">
        <v>20</v>
      </c>
      <c r="D34" s="16" t="s">
        <v>20</v>
      </c>
      <c r="E34" s="16" t="s">
        <v>20</v>
      </c>
      <c r="F34" s="16" t="s">
        <v>24</v>
      </c>
      <c r="G34" s="16" t="s">
        <v>20</v>
      </c>
      <c r="H34" s="16" t="s">
        <v>20</v>
      </c>
      <c r="I34" s="16" t="s">
        <v>20</v>
      </c>
      <c r="J34" s="16" t="s">
        <v>20</v>
      </c>
      <c r="K34" s="16" t="s">
        <v>20</v>
      </c>
      <c r="L34" s="16" t="s">
        <v>28</v>
      </c>
      <c r="M34" s="16" t="s">
        <v>20</v>
      </c>
      <c r="N34" s="13">
        <f t="shared" si="4"/>
        <v>9</v>
      </c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>
      <c r="A35" s="28" t="s">
        <v>89</v>
      </c>
      <c r="B35" s="29">
        <v>1.0</v>
      </c>
      <c r="C35" s="16" t="s">
        <v>20</v>
      </c>
      <c r="D35" s="16" t="s">
        <v>20</v>
      </c>
      <c r="E35" s="16" t="s">
        <v>20</v>
      </c>
      <c r="F35" s="16" t="s">
        <v>20</v>
      </c>
      <c r="G35" s="16" t="s">
        <v>20</v>
      </c>
      <c r="H35" s="16" t="s">
        <v>20</v>
      </c>
      <c r="I35" s="16" t="s">
        <v>20</v>
      </c>
      <c r="J35" s="16" t="s">
        <v>20</v>
      </c>
      <c r="K35" s="16" t="s">
        <v>28</v>
      </c>
      <c r="L35" s="16" t="s">
        <v>28</v>
      </c>
      <c r="M35" s="16" t="s">
        <v>28</v>
      </c>
      <c r="N35" s="13">
        <f t="shared" si="4"/>
        <v>8</v>
      </c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>
      <c r="A36" s="28" t="s">
        <v>90</v>
      </c>
      <c r="B36" s="29">
        <v>1.0</v>
      </c>
      <c r="C36" s="16" t="s">
        <v>20</v>
      </c>
      <c r="D36" s="16" t="s">
        <v>20</v>
      </c>
      <c r="E36" s="16" t="s">
        <v>20</v>
      </c>
      <c r="F36" s="16" t="s">
        <v>20</v>
      </c>
      <c r="G36" s="16" t="s">
        <v>20</v>
      </c>
      <c r="H36" s="16" t="s">
        <v>20</v>
      </c>
      <c r="I36" s="16" t="s">
        <v>20</v>
      </c>
      <c r="J36" s="16" t="s">
        <v>20</v>
      </c>
      <c r="K36" s="16" t="s">
        <v>20</v>
      </c>
      <c r="L36" s="16" t="s">
        <v>28</v>
      </c>
      <c r="M36" s="16" t="s">
        <v>20</v>
      </c>
      <c r="N36" s="13">
        <f t="shared" si="4"/>
        <v>10</v>
      </c>
      <c r="P36" s="4" t="s">
        <v>91</v>
      </c>
      <c r="Q36" s="5"/>
      <c r="R36" s="5"/>
      <c r="S36" s="6"/>
      <c r="W36" s="4" t="s">
        <v>92</v>
      </c>
      <c r="X36" s="5"/>
      <c r="Y36" s="6"/>
      <c r="AA36" s="35"/>
    </row>
    <row r="37">
      <c r="A37" s="28" t="s">
        <v>93</v>
      </c>
      <c r="B37" s="29">
        <v>1.0</v>
      </c>
      <c r="C37" s="16" t="s">
        <v>20</v>
      </c>
      <c r="D37" s="16" t="s">
        <v>28</v>
      </c>
      <c r="E37" s="16" t="s">
        <v>20</v>
      </c>
      <c r="F37" s="16" t="s">
        <v>20</v>
      </c>
      <c r="G37" s="16" t="s">
        <v>20</v>
      </c>
      <c r="H37" s="16" t="s">
        <v>20</v>
      </c>
      <c r="I37" s="16" t="s">
        <v>20</v>
      </c>
      <c r="J37" s="16" t="s">
        <v>20</v>
      </c>
      <c r="K37" s="16" t="s">
        <v>20</v>
      </c>
      <c r="L37" s="16" t="s">
        <v>20</v>
      </c>
      <c r="M37" s="16" t="s">
        <v>20</v>
      </c>
      <c r="N37" s="13">
        <f t="shared" si="4"/>
        <v>10</v>
      </c>
      <c r="P37" s="27" t="s">
        <v>94</v>
      </c>
      <c r="Q37" s="27" t="s">
        <v>95</v>
      </c>
      <c r="R37" s="27" t="s">
        <v>96</v>
      </c>
      <c r="S37" s="27" t="s">
        <v>97</v>
      </c>
      <c r="W37" s="27" t="s">
        <v>98</v>
      </c>
      <c r="X37" s="27" t="s">
        <v>96</v>
      </c>
      <c r="Y37" s="27" t="s">
        <v>99</v>
      </c>
      <c r="AA37" s="35"/>
    </row>
    <row r="38">
      <c r="A38" s="28" t="s">
        <v>100</v>
      </c>
      <c r="B38" s="29">
        <v>1.0</v>
      </c>
      <c r="C38" s="16" t="s">
        <v>20</v>
      </c>
      <c r="D38" s="16" t="s">
        <v>20</v>
      </c>
      <c r="E38" s="16" t="s">
        <v>20</v>
      </c>
      <c r="F38" s="16" t="s">
        <v>20</v>
      </c>
      <c r="G38" s="16" t="s">
        <v>20</v>
      </c>
      <c r="H38" s="16" t="s">
        <v>20</v>
      </c>
      <c r="I38" s="16" t="s">
        <v>20</v>
      </c>
      <c r="J38" s="16" t="s">
        <v>20</v>
      </c>
      <c r="K38" s="16" t="s">
        <v>20</v>
      </c>
      <c r="L38" s="16" t="s">
        <v>20</v>
      </c>
      <c r="M38" s="16" t="s">
        <v>20</v>
      </c>
      <c r="N38" s="13">
        <f t="shared" si="4"/>
        <v>11</v>
      </c>
      <c r="P38" s="19" t="s">
        <v>101</v>
      </c>
      <c r="Q38" s="20">
        <v>493491.0</v>
      </c>
      <c r="R38" s="36" t="s">
        <v>102</v>
      </c>
      <c r="S38" s="36" t="s">
        <v>103</v>
      </c>
      <c r="W38" s="19" t="s">
        <v>104</v>
      </c>
      <c r="X38" s="37" t="s">
        <v>105</v>
      </c>
      <c r="Y38" s="38">
        <v>46235.0</v>
      </c>
      <c r="AA38" s="35"/>
    </row>
    <row r="39">
      <c r="A39" s="28" t="s">
        <v>106</v>
      </c>
      <c r="B39" s="29">
        <v>1.0</v>
      </c>
      <c r="C39" s="16" t="s">
        <v>20</v>
      </c>
      <c r="D39" s="16" t="s">
        <v>20</v>
      </c>
      <c r="E39" s="16" t="s">
        <v>20</v>
      </c>
      <c r="F39" s="16" t="s">
        <v>20</v>
      </c>
      <c r="G39" s="16" t="s">
        <v>20</v>
      </c>
      <c r="H39" s="16" t="s">
        <v>20</v>
      </c>
      <c r="I39" s="16" t="s">
        <v>20</v>
      </c>
      <c r="J39" s="16" t="s">
        <v>20</v>
      </c>
      <c r="K39" s="16" t="s">
        <v>20</v>
      </c>
      <c r="L39" s="16" t="s">
        <v>20</v>
      </c>
      <c r="M39" s="16" t="s">
        <v>28</v>
      </c>
      <c r="N39" s="13">
        <f t="shared" si="4"/>
        <v>10</v>
      </c>
      <c r="P39" s="19" t="s">
        <v>101</v>
      </c>
      <c r="Q39" s="20">
        <v>802807.0</v>
      </c>
      <c r="R39" s="36" t="s">
        <v>107</v>
      </c>
      <c r="S39" s="36" t="s">
        <v>103</v>
      </c>
      <c r="W39" s="19" t="s">
        <v>108</v>
      </c>
      <c r="X39" s="37" t="s">
        <v>105</v>
      </c>
      <c r="Y39" s="38">
        <v>46236.0</v>
      </c>
      <c r="AA39" s="35"/>
    </row>
    <row r="40">
      <c r="A40" s="28" t="s">
        <v>109</v>
      </c>
      <c r="B40" s="29">
        <v>1.0</v>
      </c>
      <c r="C40" s="16" t="s">
        <v>20</v>
      </c>
      <c r="D40" s="16" t="s">
        <v>20</v>
      </c>
      <c r="E40" s="16" t="s">
        <v>20</v>
      </c>
      <c r="F40" s="16" t="s">
        <v>24</v>
      </c>
      <c r="G40" s="16" t="s">
        <v>20</v>
      </c>
      <c r="H40" s="16" t="s">
        <v>20</v>
      </c>
      <c r="I40" s="16" t="s">
        <v>20</v>
      </c>
      <c r="J40" s="16" t="s">
        <v>20</v>
      </c>
      <c r="K40" s="16" t="s">
        <v>20</v>
      </c>
      <c r="L40" s="16" t="s">
        <v>20</v>
      </c>
      <c r="M40" s="16" t="s">
        <v>20</v>
      </c>
      <c r="N40" s="13">
        <f t="shared" si="4"/>
        <v>10</v>
      </c>
      <c r="P40" s="19" t="s">
        <v>101</v>
      </c>
      <c r="Q40" s="20">
        <v>808007.0</v>
      </c>
      <c r="R40" s="36" t="s">
        <v>110</v>
      </c>
      <c r="S40" s="36" t="s">
        <v>103</v>
      </c>
      <c r="AA40" s="35"/>
    </row>
    <row r="41">
      <c r="A41" s="28" t="s">
        <v>111</v>
      </c>
      <c r="B41" s="29">
        <v>1.0</v>
      </c>
      <c r="C41" s="16" t="s">
        <v>20</v>
      </c>
      <c r="D41" s="16" t="s">
        <v>20</v>
      </c>
      <c r="E41" s="16" t="s">
        <v>20</v>
      </c>
      <c r="F41" s="16" t="s">
        <v>20</v>
      </c>
      <c r="G41" s="16" t="s">
        <v>20</v>
      </c>
      <c r="H41" s="16" t="s">
        <v>20</v>
      </c>
      <c r="I41" s="16" t="s">
        <v>20</v>
      </c>
      <c r="J41" s="16" t="s">
        <v>20</v>
      </c>
      <c r="K41" s="16" t="s">
        <v>20</v>
      </c>
      <c r="L41" s="16" t="s">
        <v>20</v>
      </c>
      <c r="M41" s="16" t="s">
        <v>20</v>
      </c>
      <c r="N41" s="13">
        <f t="shared" si="4"/>
        <v>11</v>
      </c>
      <c r="P41" s="19" t="s">
        <v>101</v>
      </c>
      <c r="Q41" s="20">
        <v>801775.0</v>
      </c>
      <c r="R41" s="36" t="s">
        <v>112</v>
      </c>
      <c r="S41" s="36" t="s">
        <v>103</v>
      </c>
      <c r="AA41" s="35"/>
    </row>
    <row r="42">
      <c r="A42" s="28" t="s">
        <v>113</v>
      </c>
      <c r="B42" s="29">
        <v>1.0</v>
      </c>
      <c r="C42" s="16" t="s">
        <v>20</v>
      </c>
      <c r="D42" s="16" t="s">
        <v>20</v>
      </c>
      <c r="E42" s="16" t="s">
        <v>20</v>
      </c>
      <c r="F42" s="16" t="s">
        <v>20</v>
      </c>
      <c r="G42" s="16" t="s">
        <v>20</v>
      </c>
      <c r="H42" s="16" t="s">
        <v>24</v>
      </c>
      <c r="I42" s="16" t="s">
        <v>20</v>
      </c>
      <c r="J42" s="16" t="s">
        <v>20</v>
      </c>
      <c r="K42" s="16" t="s">
        <v>20</v>
      </c>
      <c r="L42" s="16" t="s">
        <v>24</v>
      </c>
      <c r="M42" s="16" t="s">
        <v>20</v>
      </c>
      <c r="N42" s="13">
        <f t="shared" si="4"/>
        <v>9</v>
      </c>
      <c r="P42" s="19" t="s">
        <v>101</v>
      </c>
      <c r="Q42" s="20">
        <v>802541.0</v>
      </c>
      <c r="R42" s="36" t="s">
        <v>114</v>
      </c>
      <c r="S42" s="36" t="s">
        <v>103</v>
      </c>
    </row>
    <row r="43">
      <c r="A43" s="28" t="s">
        <v>115</v>
      </c>
      <c r="B43" s="29">
        <v>1.0</v>
      </c>
      <c r="C43" s="16" t="s">
        <v>20</v>
      </c>
      <c r="D43" s="16" t="s">
        <v>20</v>
      </c>
      <c r="E43" s="16" t="s">
        <v>20</v>
      </c>
      <c r="F43" s="16" t="s">
        <v>20</v>
      </c>
      <c r="G43" s="16" t="s">
        <v>28</v>
      </c>
      <c r="H43" s="16" t="s">
        <v>28</v>
      </c>
      <c r="I43" s="16" t="s">
        <v>20</v>
      </c>
      <c r="J43" s="16" t="s">
        <v>28</v>
      </c>
      <c r="K43" s="16" t="s">
        <v>20</v>
      </c>
      <c r="L43" s="16" t="s">
        <v>28</v>
      </c>
      <c r="M43" s="16" t="s">
        <v>24</v>
      </c>
      <c r="N43" s="13">
        <f t="shared" si="4"/>
        <v>6</v>
      </c>
      <c r="P43" s="19" t="s">
        <v>101</v>
      </c>
      <c r="Q43" s="20">
        <v>489643.0</v>
      </c>
      <c r="R43" s="36" t="s">
        <v>116</v>
      </c>
      <c r="S43" s="36" t="s">
        <v>103</v>
      </c>
    </row>
    <row r="44">
      <c r="A44" s="28" t="s">
        <v>117</v>
      </c>
      <c r="B44" s="29">
        <v>1.0</v>
      </c>
      <c r="C44" s="16" t="s">
        <v>20</v>
      </c>
      <c r="D44" s="16" t="s">
        <v>20</v>
      </c>
      <c r="E44" s="16" t="s">
        <v>20</v>
      </c>
      <c r="F44" s="16" t="s">
        <v>20</v>
      </c>
      <c r="G44" s="16" t="s">
        <v>24</v>
      </c>
      <c r="H44" s="16" t="s">
        <v>20</v>
      </c>
      <c r="I44" s="16" t="s">
        <v>20</v>
      </c>
      <c r="J44" s="16" t="s">
        <v>20</v>
      </c>
      <c r="K44" s="16" t="s">
        <v>20</v>
      </c>
      <c r="L44" s="16" t="s">
        <v>20</v>
      </c>
      <c r="M44" s="16" t="s">
        <v>20</v>
      </c>
      <c r="N44" s="13">
        <f t="shared" si="4"/>
        <v>10</v>
      </c>
      <c r="P44" s="19" t="s">
        <v>118</v>
      </c>
      <c r="Q44" s="11"/>
      <c r="R44" s="36" t="s">
        <v>119</v>
      </c>
      <c r="S44" s="36" t="s">
        <v>103</v>
      </c>
    </row>
    <row r="45">
      <c r="A45" s="28" t="s">
        <v>120</v>
      </c>
      <c r="B45" s="29">
        <v>1.0</v>
      </c>
      <c r="C45" s="16" t="s">
        <v>20</v>
      </c>
      <c r="D45" s="16" t="s">
        <v>28</v>
      </c>
      <c r="E45" s="16" t="s">
        <v>20</v>
      </c>
      <c r="F45" s="16" t="s">
        <v>20</v>
      </c>
      <c r="G45" s="16" t="s">
        <v>20</v>
      </c>
      <c r="H45" s="16" t="s">
        <v>20</v>
      </c>
      <c r="I45" s="16" t="s">
        <v>20</v>
      </c>
      <c r="J45" s="16" t="s">
        <v>20</v>
      </c>
      <c r="K45" s="16" t="s">
        <v>20</v>
      </c>
      <c r="L45" s="16" t="s">
        <v>20</v>
      </c>
      <c r="M45" s="16" t="s">
        <v>20</v>
      </c>
      <c r="N45" s="13">
        <f t="shared" si="4"/>
        <v>10</v>
      </c>
      <c r="P45" s="19" t="s">
        <v>118</v>
      </c>
      <c r="Q45" s="11"/>
      <c r="R45" s="36" t="s">
        <v>121</v>
      </c>
      <c r="S45" s="36" t="s">
        <v>103</v>
      </c>
    </row>
    <row r="46">
      <c r="A46" s="28" t="s">
        <v>122</v>
      </c>
      <c r="B46" s="29">
        <v>1.0</v>
      </c>
      <c r="C46" s="16" t="s">
        <v>20</v>
      </c>
      <c r="D46" s="16" t="s">
        <v>20</v>
      </c>
      <c r="E46" s="16" t="s">
        <v>20</v>
      </c>
      <c r="F46" s="16" t="s">
        <v>20</v>
      </c>
      <c r="G46" s="16" t="s">
        <v>20</v>
      </c>
      <c r="H46" s="16" t="s">
        <v>20</v>
      </c>
      <c r="I46" s="16" t="s">
        <v>20</v>
      </c>
      <c r="J46" s="16" t="s">
        <v>20</v>
      </c>
      <c r="K46" s="16" t="s">
        <v>20</v>
      </c>
      <c r="L46" s="16" t="s">
        <v>28</v>
      </c>
      <c r="M46" s="16" t="s">
        <v>20</v>
      </c>
      <c r="N46" s="13">
        <f t="shared" si="4"/>
        <v>10</v>
      </c>
      <c r="P46" s="19" t="s">
        <v>118</v>
      </c>
      <c r="Q46" s="11"/>
      <c r="R46" s="36" t="s">
        <v>123</v>
      </c>
      <c r="S46" s="36" t="s">
        <v>103</v>
      </c>
    </row>
    <row r="47">
      <c r="A47" s="28" t="s">
        <v>124</v>
      </c>
      <c r="B47" s="29">
        <v>1.0</v>
      </c>
      <c r="C47" s="16" t="s">
        <v>20</v>
      </c>
      <c r="D47" s="16" t="s">
        <v>20</v>
      </c>
      <c r="E47" s="16" t="s">
        <v>20</v>
      </c>
      <c r="F47" s="16" t="s">
        <v>20</v>
      </c>
      <c r="G47" s="16" t="s">
        <v>20</v>
      </c>
      <c r="H47" s="16" t="s">
        <v>20</v>
      </c>
      <c r="I47" s="16" t="s">
        <v>20</v>
      </c>
      <c r="J47" s="16" t="s">
        <v>20</v>
      </c>
      <c r="K47" s="16" t="s">
        <v>20</v>
      </c>
      <c r="L47" s="16" t="s">
        <v>20</v>
      </c>
      <c r="M47" s="16" t="s">
        <v>20</v>
      </c>
      <c r="N47" s="13">
        <f t="shared" si="4"/>
        <v>11</v>
      </c>
      <c r="P47" s="19" t="s">
        <v>118</v>
      </c>
      <c r="Q47" s="11"/>
      <c r="R47" s="11"/>
      <c r="S47" s="36" t="s">
        <v>125</v>
      </c>
    </row>
    <row r="48">
      <c r="A48" s="28" t="s">
        <v>126</v>
      </c>
      <c r="B48" s="29">
        <v>1.0</v>
      </c>
      <c r="C48" s="16" t="s">
        <v>20</v>
      </c>
      <c r="D48" s="16" t="s">
        <v>20</v>
      </c>
      <c r="E48" s="16" t="s">
        <v>20</v>
      </c>
      <c r="F48" s="16" t="s">
        <v>20</v>
      </c>
      <c r="G48" s="16" t="s">
        <v>20</v>
      </c>
      <c r="H48" s="16" t="s">
        <v>20</v>
      </c>
      <c r="I48" s="16" t="s">
        <v>20</v>
      </c>
      <c r="J48" s="16" t="s">
        <v>20</v>
      </c>
      <c r="K48" s="16" t="s">
        <v>20</v>
      </c>
      <c r="L48" s="16" t="s">
        <v>20</v>
      </c>
      <c r="M48" s="16" t="s">
        <v>20</v>
      </c>
      <c r="N48" s="13">
        <f t="shared" si="4"/>
        <v>11</v>
      </c>
    </row>
    <row r="49">
      <c r="A49" s="28" t="s">
        <v>127</v>
      </c>
      <c r="B49" s="29">
        <v>1.0</v>
      </c>
      <c r="C49" s="16" t="s">
        <v>20</v>
      </c>
      <c r="D49" s="16" t="s">
        <v>20</v>
      </c>
      <c r="E49" s="16" t="s">
        <v>20</v>
      </c>
      <c r="F49" s="16" t="s">
        <v>20</v>
      </c>
      <c r="G49" s="16" t="s">
        <v>20</v>
      </c>
      <c r="H49" s="16" t="s">
        <v>20</v>
      </c>
      <c r="I49" s="16" t="s">
        <v>20</v>
      </c>
      <c r="J49" s="16" t="s">
        <v>20</v>
      </c>
      <c r="K49" s="16" t="s">
        <v>20</v>
      </c>
      <c r="L49" s="16" t="s">
        <v>20</v>
      </c>
      <c r="M49" s="16" t="s">
        <v>20</v>
      </c>
      <c r="N49" s="13">
        <f t="shared" si="4"/>
        <v>11</v>
      </c>
    </row>
    <row r="50">
      <c r="A50" s="28" t="s">
        <v>128</v>
      </c>
      <c r="B50" s="29">
        <v>1.0</v>
      </c>
      <c r="C50" s="16" t="s">
        <v>20</v>
      </c>
      <c r="D50" s="16" t="s">
        <v>20</v>
      </c>
      <c r="E50" s="16" t="s">
        <v>20</v>
      </c>
      <c r="F50" s="16" t="s">
        <v>20</v>
      </c>
      <c r="G50" s="16" t="s">
        <v>20</v>
      </c>
      <c r="H50" s="16" t="s">
        <v>20</v>
      </c>
      <c r="I50" s="16" t="s">
        <v>20</v>
      </c>
      <c r="J50" s="16" t="s">
        <v>20</v>
      </c>
      <c r="K50" s="16" t="s">
        <v>28</v>
      </c>
      <c r="L50" s="16" t="s">
        <v>20</v>
      </c>
      <c r="M50" s="16" t="s">
        <v>20</v>
      </c>
      <c r="N50" s="13">
        <f t="shared" si="4"/>
        <v>10</v>
      </c>
    </row>
    <row r="51">
      <c r="A51" s="28" t="s">
        <v>129</v>
      </c>
      <c r="B51" s="29">
        <v>1.0</v>
      </c>
      <c r="C51" s="16" t="s">
        <v>20</v>
      </c>
      <c r="D51" s="16" t="s">
        <v>20</v>
      </c>
      <c r="E51" s="16" t="s">
        <v>20</v>
      </c>
      <c r="F51" s="16" t="s">
        <v>20</v>
      </c>
      <c r="G51" s="16" t="s">
        <v>28</v>
      </c>
      <c r="H51" s="16" t="s">
        <v>20</v>
      </c>
      <c r="I51" s="16" t="s">
        <v>20</v>
      </c>
      <c r="J51" s="16" t="s">
        <v>20</v>
      </c>
      <c r="K51" s="16" t="s">
        <v>28</v>
      </c>
      <c r="L51" s="16" t="s">
        <v>28</v>
      </c>
      <c r="M51" s="16" t="s">
        <v>20</v>
      </c>
      <c r="N51" s="13">
        <f t="shared" si="4"/>
        <v>8</v>
      </c>
    </row>
    <row r="52">
      <c r="A52" s="28" t="s">
        <v>130</v>
      </c>
      <c r="B52" s="29">
        <v>1.0</v>
      </c>
      <c r="C52" s="16" t="s">
        <v>20</v>
      </c>
      <c r="D52" s="16" t="s">
        <v>20</v>
      </c>
      <c r="E52" s="16" t="s">
        <v>20</v>
      </c>
      <c r="F52" s="16" t="s">
        <v>20</v>
      </c>
      <c r="G52" s="16" t="s">
        <v>20</v>
      </c>
      <c r="H52" s="16" t="s">
        <v>20</v>
      </c>
      <c r="I52" s="16" t="s">
        <v>20</v>
      </c>
      <c r="J52" s="16" t="s">
        <v>20</v>
      </c>
      <c r="K52" s="16" t="s">
        <v>28</v>
      </c>
      <c r="L52" s="16" t="s">
        <v>28</v>
      </c>
      <c r="M52" s="16" t="s">
        <v>20</v>
      </c>
      <c r="N52" s="13">
        <f t="shared" si="4"/>
        <v>9</v>
      </c>
    </row>
    <row r="53">
      <c r="A53" s="28" t="s">
        <v>131</v>
      </c>
      <c r="B53" s="29">
        <v>1.0</v>
      </c>
      <c r="C53" s="16" t="s">
        <v>20</v>
      </c>
      <c r="D53" s="16" t="s">
        <v>24</v>
      </c>
      <c r="E53" s="16" t="s">
        <v>20</v>
      </c>
      <c r="F53" s="16" t="s">
        <v>20</v>
      </c>
      <c r="G53" s="16" t="s">
        <v>20</v>
      </c>
      <c r="H53" s="16" t="s">
        <v>20</v>
      </c>
      <c r="I53" s="16" t="s">
        <v>20</v>
      </c>
      <c r="J53" s="16" t="s">
        <v>20</v>
      </c>
      <c r="K53" s="16" t="s">
        <v>20</v>
      </c>
      <c r="L53" s="16" t="s">
        <v>20</v>
      </c>
      <c r="M53" s="16" t="s">
        <v>20</v>
      </c>
      <c r="N53" s="13">
        <f t="shared" si="4"/>
        <v>10</v>
      </c>
    </row>
    <row r="54">
      <c r="A54" s="28" t="s">
        <v>132</v>
      </c>
      <c r="B54" s="29">
        <v>1.0</v>
      </c>
      <c r="C54" s="16" t="s">
        <v>20</v>
      </c>
      <c r="D54" s="16" t="s">
        <v>20</v>
      </c>
      <c r="E54" s="16" t="s">
        <v>20</v>
      </c>
      <c r="F54" s="16" t="s">
        <v>20</v>
      </c>
      <c r="G54" s="16" t="s">
        <v>20</v>
      </c>
      <c r="H54" s="16" t="s">
        <v>20</v>
      </c>
      <c r="I54" s="16" t="s">
        <v>20</v>
      </c>
      <c r="J54" s="16" t="s">
        <v>20</v>
      </c>
      <c r="K54" s="16" t="s">
        <v>20</v>
      </c>
      <c r="L54" s="16" t="s">
        <v>20</v>
      </c>
      <c r="M54" s="16" t="s">
        <v>20</v>
      </c>
      <c r="N54" s="13">
        <f t="shared" si="4"/>
        <v>11</v>
      </c>
    </row>
    <row r="55">
      <c r="A55" s="28" t="s">
        <v>133</v>
      </c>
      <c r="B55" s="29">
        <v>1.0</v>
      </c>
      <c r="C55" s="16" t="s">
        <v>20</v>
      </c>
      <c r="D55" s="16" t="s">
        <v>24</v>
      </c>
      <c r="E55" s="16" t="s">
        <v>20</v>
      </c>
      <c r="F55" s="16" t="s">
        <v>20</v>
      </c>
      <c r="G55" s="16" t="s">
        <v>20</v>
      </c>
      <c r="H55" s="16" t="s">
        <v>28</v>
      </c>
      <c r="I55" s="16" t="s">
        <v>20</v>
      </c>
      <c r="J55" s="16" t="s">
        <v>20</v>
      </c>
      <c r="K55" s="16" t="s">
        <v>28</v>
      </c>
      <c r="L55" s="16" t="s">
        <v>24</v>
      </c>
      <c r="M55" s="16" t="s">
        <v>20</v>
      </c>
      <c r="N55" s="13">
        <f t="shared" si="4"/>
        <v>7</v>
      </c>
    </row>
    <row r="56">
      <c r="A56" s="28" t="s">
        <v>134</v>
      </c>
      <c r="B56" s="29">
        <v>1.0</v>
      </c>
      <c r="C56" s="16" t="s">
        <v>20</v>
      </c>
      <c r="D56" s="16" t="s">
        <v>20</v>
      </c>
      <c r="E56" s="16" t="s">
        <v>20</v>
      </c>
      <c r="F56" s="16" t="s">
        <v>20</v>
      </c>
      <c r="G56" s="16" t="s">
        <v>20</v>
      </c>
      <c r="H56" s="16" t="s">
        <v>20</v>
      </c>
      <c r="I56" s="16" t="s">
        <v>20</v>
      </c>
      <c r="J56" s="16" t="s">
        <v>20</v>
      </c>
      <c r="K56" s="16" t="s">
        <v>20</v>
      </c>
      <c r="L56" s="16" t="s">
        <v>20</v>
      </c>
      <c r="M56" s="16" t="s">
        <v>20</v>
      </c>
      <c r="N56" s="13">
        <f t="shared" si="4"/>
        <v>11</v>
      </c>
    </row>
    <row r="57">
      <c r="A57" s="28" t="s">
        <v>135</v>
      </c>
      <c r="B57" s="29">
        <v>1.0</v>
      </c>
      <c r="C57" s="16" t="s">
        <v>20</v>
      </c>
      <c r="D57" s="16" t="s">
        <v>20</v>
      </c>
      <c r="E57" s="16" t="s">
        <v>20</v>
      </c>
      <c r="F57" s="16" t="s">
        <v>20</v>
      </c>
      <c r="G57" s="16" t="s">
        <v>20</v>
      </c>
      <c r="H57" s="16" t="s">
        <v>20</v>
      </c>
      <c r="I57" s="16" t="s">
        <v>20</v>
      </c>
      <c r="J57" s="16" t="s">
        <v>20</v>
      </c>
      <c r="K57" s="16" t="s">
        <v>20</v>
      </c>
      <c r="L57" s="16" t="s">
        <v>20</v>
      </c>
      <c r="M57" s="16" t="s">
        <v>20</v>
      </c>
      <c r="N57" s="13">
        <f t="shared" si="4"/>
        <v>11</v>
      </c>
    </row>
    <row r="58">
      <c r="A58" s="28" t="s">
        <v>136</v>
      </c>
      <c r="B58" s="29">
        <v>1.0</v>
      </c>
      <c r="C58" s="16" t="s">
        <v>20</v>
      </c>
      <c r="D58" s="16" t="s">
        <v>20</v>
      </c>
      <c r="E58" s="16" t="s">
        <v>20</v>
      </c>
      <c r="F58" s="16" t="s">
        <v>20</v>
      </c>
      <c r="G58" s="16" t="s">
        <v>28</v>
      </c>
      <c r="H58" s="16" t="s">
        <v>20</v>
      </c>
      <c r="I58" s="16" t="s">
        <v>20</v>
      </c>
      <c r="J58" s="16" t="s">
        <v>20</v>
      </c>
      <c r="K58" s="16" t="s">
        <v>20</v>
      </c>
      <c r="L58" s="16" t="s">
        <v>20</v>
      </c>
      <c r="M58" s="16" t="s">
        <v>20</v>
      </c>
      <c r="N58" s="13">
        <f t="shared" si="4"/>
        <v>10</v>
      </c>
    </row>
    <row r="59">
      <c r="A59" s="28" t="s">
        <v>137</v>
      </c>
      <c r="B59" s="29">
        <v>1.0</v>
      </c>
      <c r="C59" s="16" t="s">
        <v>20</v>
      </c>
      <c r="D59" s="16" t="s">
        <v>20</v>
      </c>
      <c r="E59" s="16" t="s">
        <v>20</v>
      </c>
      <c r="F59" s="16" t="s">
        <v>28</v>
      </c>
      <c r="G59" s="16" t="s">
        <v>20</v>
      </c>
      <c r="H59" s="16" t="s">
        <v>20</v>
      </c>
      <c r="I59" s="16" t="s">
        <v>28</v>
      </c>
      <c r="J59" s="16" t="s">
        <v>20</v>
      </c>
      <c r="K59" s="16" t="s">
        <v>20</v>
      </c>
      <c r="L59" s="16" t="s">
        <v>20</v>
      </c>
      <c r="M59" s="16" t="s">
        <v>20</v>
      </c>
      <c r="N59" s="13">
        <f t="shared" si="4"/>
        <v>9</v>
      </c>
    </row>
    <row r="60">
      <c r="A60" s="39" t="s">
        <v>138</v>
      </c>
      <c r="B60" s="29">
        <v>1.0</v>
      </c>
      <c r="C60" s="16" t="s">
        <v>20</v>
      </c>
      <c r="D60" s="16" t="s">
        <v>20</v>
      </c>
      <c r="E60" s="16" t="s">
        <v>20</v>
      </c>
      <c r="F60" s="16" t="s">
        <v>20</v>
      </c>
      <c r="G60" s="16" t="s">
        <v>20</v>
      </c>
      <c r="H60" s="16" t="s">
        <v>20</v>
      </c>
      <c r="I60" s="16" t="s">
        <v>20</v>
      </c>
      <c r="J60" s="16" t="s">
        <v>20</v>
      </c>
      <c r="K60" s="16" t="s">
        <v>20</v>
      </c>
      <c r="L60" s="16" t="s">
        <v>20</v>
      </c>
      <c r="M60" s="16" t="s">
        <v>20</v>
      </c>
      <c r="N60" s="13">
        <f t="shared" si="4"/>
        <v>11</v>
      </c>
    </row>
    <row r="61">
      <c r="A61" s="28" t="s">
        <v>139</v>
      </c>
      <c r="B61" s="29">
        <v>1.0</v>
      </c>
      <c r="C61" s="16" t="s">
        <v>20</v>
      </c>
      <c r="D61" s="16" t="s">
        <v>20</v>
      </c>
      <c r="E61" s="16" t="s">
        <v>20</v>
      </c>
      <c r="F61" s="16" t="s">
        <v>20</v>
      </c>
      <c r="G61" s="16" t="s">
        <v>20</v>
      </c>
      <c r="H61" s="16" t="s">
        <v>20</v>
      </c>
      <c r="I61" s="16" t="s">
        <v>20</v>
      </c>
      <c r="J61" s="16" t="s">
        <v>20</v>
      </c>
      <c r="K61" s="16" t="s">
        <v>20</v>
      </c>
      <c r="L61" s="16" t="s">
        <v>20</v>
      </c>
      <c r="M61" s="16" t="s">
        <v>20</v>
      </c>
      <c r="N61" s="13">
        <f t="shared" si="4"/>
        <v>11</v>
      </c>
    </row>
    <row r="62">
      <c r="A62" s="28" t="s">
        <v>140</v>
      </c>
      <c r="B62" s="29">
        <v>1.0</v>
      </c>
      <c r="C62" s="16" t="s">
        <v>20</v>
      </c>
      <c r="D62" s="16" t="s">
        <v>20</v>
      </c>
      <c r="E62" s="16" t="s">
        <v>20</v>
      </c>
      <c r="F62" s="16" t="s">
        <v>20</v>
      </c>
      <c r="G62" s="16" t="s">
        <v>20</v>
      </c>
      <c r="H62" s="16" t="s">
        <v>20</v>
      </c>
      <c r="I62" s="16" t="s">
        <v>20</v>
      </c>
      <c r="J62" s="16" t="s">
        <v>20</v>
      </c>
      <c r="K62" s="16" t="s">
        <v>20</v>
      </c>
      <c r="L62" s="16" t="s">
        <v>20</v>
      </c>
      <c r="M62" s="16" t="s">
        <v>20</v>
      </c>
      <c r="N62" s="13">
        <f t="shared" si="4"/>
        <v>11</v>
      </c>
    </row>
    <row r="63">
      <c r="A63" s="28" t="s">
        <v>141</v>
      </c>
      <c r="B63" s="29">
        <v>1.0</v>
      </c>
      <c r="C63" s="16" t="s">
        <v>20</v>
      </c>
      <c r="D63" s="16" t="s">
        <v>20</v>
      </c>
      <c r="E63" s="16" t="s">
        <v>20</v>
      </c>
      <c r="F63" s="16" t="s">
        <v>28</v>
      </c>
      <c r="G63" s="16" t="s">
        <v>20</v>
      </c>
      <c r="H63" s="16" t="s">
        <v>20</v>
      </c>
      <c r="I63" s="16" t="s">
        <v>20</v>
      </c>
      <c r="J63" s="16" t="s">
        <v>20</v>
      </c>
      <c r="K63" s="16" t="s">
        <v>20</v>
      </c>
      <c r="L63" s="16" t="s">
        <v>20</v>
      </c>
      <c r="M63" s="16" t="s">
        <v>20</v>
      </c>
      <c r="N63" s="13">
        <f t="shared" si="4"/>
        <v>10</v>
      </c>
    </row>
    <row r="64">
      <c r="A64" s="28" t="s">
        <v>142</v>
      </c>
      <c r="B64" s="29">
        <v>1.0</v>
      </c>
      <c r="C64" s="16" t="s">
        <v>20</v>
      </c>
      <c r="D64" s="16" t="s">
        <v>20</v>
      </c>
      <c r="E64" s="16" t="s">
        <v>20</v>
      </c>
      <c r="F64" s="16" t="s">
        <v>28</v>
      </c>
      <c r="G64" s="16" t="s">
        <v>20</v>
      </c>
      <c r="H64" s="16" t="s">
        <v>20</v>
      </c>
      <c r="I64" s="16" t="s">
        <v>20</v>
      </c>
      <c r="J64" s="16" t="s">
        <v>20</v>
      </c>
      <c r="K64" s="16" t="s">
        <v>28</v>
      </c>
      <c r="L64" s="16" t="s">
        <v>20</v>
      </c>
      <c r="M64" s="16" t="s">
        <v>20</v>
      </c>
      <c r="N64" s="13">
        <f t="shared" si="4"/>
        <v>9</v>
      </c>
    </row>
    <row r="65">
      <c r="A65" s="28" t="s">
        <v>143</v>
      </c>
      <c r="B65" s="29">
        <v>1.0</v>
      </c>
      <c r="C65" s="16" t="s">
        <v>20</v>
      </c>
      <c r="D65" s="16" t="s">
        <v>20</v>
      </c>
      <c r="E65" s="16" t="s">
        <v>20</v>
      </c>
      <c r="F65" s="16" t="s">
        <v>20</v>
      </c>
      <c r="G65" s="16" t="s">
        <v>20</v>
      </c>
      <c r="H65" s="16" t="s">
        <v>20</v>
      </c>
      <c r="I65" s="16" t="s">
        <v>20</v>
      </c>
      <c r="J65" s="16" t="s">
        <v>20</v>
      </c>
      <c r="K65" s="16" t="s">
        <v>20</v>
      </c>
      <c r="L65" s="16" t="s">
        <v>20</v>
      </c>
      <c r="M65" s="16" t="s">
        <v>20</v>
      </c>
      <c r="N65" s="13">
        <f t="shared" si="4"/>
        <v>11</v>
      </c>
    </row>
    <row r="66">
      <c r="A66" s="28" t="s">
        <v>144</v>
      </c>
      <c r="B66" s="29">
        <v>1.0</v>
      </c>
      <c r="C66" s="16" t="s">
        <v>20</v>
      </c>
      <c r="D66" s="16" t="s">
        <v>20</v>
      </c>
      <c r="E66" s="16" t="s">
        <v>20</v>
      </c>
      <c r="F66" s="16" t="s">
        <v>20</v>
      </c>
      <c r="G66" s="16" t="s">
        <v>20</v>
      </c>
      <c r="H66" s="16" t="s">
        <v>20</v>
      </c>
      <c r="I66" s="16" t="s">
        <v>20</v>
      </c>
      <c r="J66" s="16" t="s">
        <v>20</v>
      </c>
      <c r="K66" s="16" t="s">
        <v>20</v>
      </c>
      <c r="L66" s="16" t="s">
        <v>20</v>
      </c>
      <c r="M66" s="16" t="s">
        <v>20</v>
      </c>
      <c r="N66" s="13">
        <f t="shared" si="4"/>
        <v>11</v>
      </c>
    </row>
    <row r="67">
      <c r="A67" s="28" t="s">
        <v>145</v>
      </c>
      <c r="B67" s="29">
        <v>1.0</v>
      </c>
      <c r="C67" s="16" t="s">
        <v>20</v>
      </c>
      <c r="D67" s="16" t="s">
        <v>20</v>
      </c>
      <c r="E67" s="16" t="s">
        <v>20</v>
      </c>
      <c r="F67" s="16" t="s">
        <v>20</v>
      </c>
      <c r="G67" s="16" t="s">
        <v>20</v>
      </c>
      <c r="H67" s="16" t="s">
        <v>20</v>
      </c>
      <c r="I67" s="16" t="s">
        <v>20</v>
      </c>
      <c r="J67" s="16" t="s">
        <v>20</v>
      </c>
      <c r="K67" s="16" t="s">
        <v>20</v>
      </c>
      <c r="L67" s="16" t="s">
        <v>20</v>
      </c>
      <c r="M67" s="16" t="s">
        <v>20</v>
      </c>
      <c r="N67" s="13">
        <f t="shared" si="4"/>
        <v>11</v>
      </c>
    </row>
    <row r="68">
      <c r="A68" s="28" t="s">
        <v>146</v>
      </c>
      <c r="B68" s="29">
        <v>1.0</v>
      </c>
      <c r="C68" s="16" t="s">
        <v>20</v>
      </c>
      <c r="D68" s="16" t="s">
        <v>20</v>
      </c>
      <c r="E68" s="16" t="s">
        <v>20</v>
      </c>
      <c r="F68" s="16" t="s">
        <v>20</v>
      </c>
      <c r="G68" s="16" t="s">
        <v>20</v>
      </c>
      <c r="H68" s="16" t="s">
        <v>20</v>
      </c>
      <c r="I68" s="16" t="s">
        <v>20</v>
      </c>
      <c r="J68" s="16" t="s">
        <v>20</v>
      </c>
      <c r="K68" s="16" t="s">
        <v>20</v>
      </c>
      <c r="L68" s="16" t="s">
        <v>20</v>
      </c>
      <c r="M68" s="16" t="s">
        <v>20</v>
      </c>
      <c r="N68" s="13">
        <f t="shared" si="4"/>
        <v>11</v>
      </c>
    </row>
    <row r="71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>
      <c r="B72" s="40" t="s">
        <v>6</v>
      </c>
      <c r="D72" s="41"/>
      <c r="E72" s="40" t="s">
        <v>7</v>
      </c>
      <c r="G72" s="41"/>
      <c r="H72" s="40" t="s">
        <v>8</v>
      </c>
      <c r="K72" s="42" t="s">
        <v>9</v>
      </c>
      <c r="M72" s="41"/>
      <c r="N72" s="40" t="s">
        <v>10</v>
      </c>
      <c r="Q72" s="42" t="s">
        <v>11</v>
      </c>
      <c r="T72" s="42" t="s">
        <v>12</v>
      </c>
      <c r="V72" s="41"/>
      <c r="W72" s="40" t="s">
        <v>13</v>
      </c>
      <c r="Z72" s="42" t="s">
        <v>14</v>
      </c>
      <c r="AB72" s="41"/>
      <c r="AC72" s="40" t="s">
        <v>15</v>
      </c>
      <c r="AF72" s="42" t="s">
        <v>16</v>
      </c>
    </row>
    <row r="73">
      <c r="A73" s="27" t="s">
        <v>94</v>
      </c>
      <c r="B73" s="27" t="s">
        <v>95</v>
      </c>
      <c r="C73" s="27" t="s">
        <v>96</v>
      </c>
      <c r="D73" s="43" t="s">
        <v>97</v>
      </c>
      <c r="E73" s="44" t="s">
        <v>95</v>
      </c>
      <c r="F73" s="27" t="s">
        <v>96</v>
      </c>
      <c r="G73" s="43" t="s">
        <v>97</v>
      </c>
      <c r="H73" s="44" t="s">
        <v>95</v>
      </c>
      <c r="I73" s="27" t="s">
        <v>96</v>
      </c>
      <c r="J73" s="45" t="s">
        <v>97</v>
      </c>
      <c r="K73" s="46" t="s">
        <v>95</v>
      </c>
      <c r="L73" s="27" t="s">
        <v>96</v>
      </c>
      <c r="M73" s="43" t="s">
        <v>97</v>
      </c>
      <c r="N73" s="44" t="s">
        <v>95</v>
      </c>
      <c r="O73" s="27" t="s">
        <v>96</v>
      </c>
      <c r="P73" s="45" t="s">
        <v>97</v>
      </c>
      <c r="Q73" s="46" t="s">
        <v>95</v>
      </c>
      <c r="R73" s="27" t="s">
        <v>96</v>
      </c>
      <c r="S73" s="45" t="s">
        <v>97</v>
      </c>
      <c r="T73" s="46" t="s">
        <v>95</v>
      </c>
      <c r="U73" s="27" t="s">
        <v>96</v>
      </c>
      <c r="V73" s="43" t="s">
        <v>97</v>
      </c>
      <c r="W73" s="44" t="s">
        <v>95</v>
      </c>
      <c r="X73" s="27" t="s">
        <v>96</v>
      </c>
      <c r="Y73" s="45" t="s">
        <v>97</v>
      </c>
      <c r="Z73" s="46" t="s">
        <v>95</v>
      </c>
      <c r="AA73" s="27" t="s">
        <v>96</v>
      </c>
      <c r="AB73" s="43" t="s">
        <v>97</v>
      </c>
      <c r="AC73" s="44" t="s">
        <v>95</v>
      </c>
      <c r="AD73" s="27" t="s">
        <v>96</v>
      </c>
      <c r="AE73" s="45" t="s">
        <v>97</v>
      </c>
      <c r="AF73" s="46" t="s">
        <v>95</v>
      </c>
      <c r="AG73" s="27" t="s">
        <v>96</v>
      </c>
      <c r="AH73" s="45" t="s">
        <v>97</v>
      </c>
    </row>
    <row r="74">
      <c r="A74" s="19" t="s">
        <v>147</v>
      </c>
      <c r="B74" s="20">
        <v>7102946.0</v>
      </c>
      <c r="C74" s="36" t="s">
        <v>148</v>
      </c>
      <c r="D74" s="47"/>
      <c r="E74" s="48">
        <v>7102214.0</v>
      </c>
      <c r="F74" s="36" t="s">
        <v>148</v>
      </c>
      <c r="G74" s="47"/>
      <c r="H74" s="48">
        <v>7105313.0</v>
      </c>
      <c r="I74" s="36" t="s">
        <v>149</v>
      </c>
      <c r="J74" s="49"/>
      <c r="K74" s="50">
        <v>467.0</v>
      </c>
      <c r="L74" s="36" t="s">
        <v>150</v>
      </c>
      <c r="M74" s="47"/>
      <c r="N74" s="48">
        <v>7105261.0</v>
      </c>
      <c r="O74" s="36" t="s">
        <v>114</v>
      </c>
      <c r="P74" s="49"/>
      <c r="Q74" s="50">
        <v>7100857.0</v>
      </c>
      <c r="R74" s="36" t="s">
        <v>150</v>
      </c>
      <c r="S74" s="49"/>
      <c r="T74" s="50">
        <v>9670.0</v>
      </c>
      <c r="U74" s="36" t="s">
        <v>114</v>
      </c>
      <c r="V74" s="47"/>
      <c r="W74" s="48">
        <v>7102130.0</v>
      </c>
      <c r="X74" s="36" t="s">
        <v>148</v>
      </c>
      <c r="Y74" s="49"/>
      <c r="Z74" s="50">
        <v>5247.0</v>
      </c>
      <c r="AA74" s="36" t="s">
        <v>148</v>
      </c>
      <c r="AB74" s="47"/>
      <c r="AC74" s="48">
        <v>750.0</v>
      </c>
      <c r="AD74" s="51" t="s">
        <v>148</v>
      </c>
      <c r="AE74" s="49"/>
      <c r="AF74" s="50">
        <v>7106619.0</v>
      </c>
      <c r="AG74" s="51" t="s">
        <v>114</v>
      </c>
      <c r="AH74" s="11"/>
    </row>
    <row r="75">
      <c r="A75" s="19" t="s">
        <v>151</v>
      </c>
      <c r="B75" s="20">
        <v>6900517.0</v>
      </c>
      <c r="C75" s="11"/>
      <c r="D75" s="47"/>
      <c r="E75" s="48">
        <v>7101139.0</v>
      </c>
      <c r="F75" s="11"/>
      <c r="G75" s="47"/>
      <c r="H75" s="48">
        <v>7106608.0</v>
      </c>
      <c r="I75" s="11"/>
      <c r="J75" s="49"/>
      <c r="K75" s="50">
        <v>7105447.0</v>
      </c>
      <c r="L75" s="11"/>
      <c r="M75" s="47"/>
      <c r="N75" s="48">
        <v>7105192.0</v>
      </c>
      <c r="O75" s="11"/>
      <c r="P75" s="49"/>
      <c r="Q75" s="50">
        <v>7104131.0</v>
      </c>
      <c r="R75" s="11"/>
      <c r="S75" s="49"/>
      <c r="T75" s="50">
        <v>7100596.0</v>
      </c>
      <c r="U75" s="11"/>
      <c r="V75" s="47"/>
      <c r="W75" s="48">
        <v>7105551.0</v>
      </c>
      <c r="X75" s="36" t="s">
        <v>152</v>
      </c>
      <c r="Y75" s="49"/>
      <c r="Z75" s="50">
        <v>6913.0</v>
      </c>
      <c r="AA75" s="11"/>
      <c r="AB75" s="47"/>
      <c r="AC75" s="48">
        <v>7105949.0</v>
      </c>
      <c r="AD75" s="52"/>
      <c r="AE75" s="49"/>
      <c r="AF75" s="53"/>
      <c r="AG75" s="52"/>
      <c r="AH75" s="11"/>
    </row>
    <row r="76">
      <c r="A76" s="19" t="s">
        <v>153</v>
      </c>
      <c r="B76" s="20">
        <v>1379118.0</v>
      </c>
      <c r="C76" s="11"/>
      <c r="D76" s="47"/>
      <c r="E76" s="48">
        <v>1.6644491E7</v>
      </c>
      <c r="F76" s="11"/>
      <c r="G76" s="47"/>
      <c r="H76" s="48">
        <v>1657810.0</v>
      </c>
      <c r="I76" s="11"/>
      <c r="J76" s="49"/>
      <c r="K76" s="50">
        <v>1641550.0</v>
      </c>
      <c r="L76" s="11"/>
      <c r="M76" s="47"/>
      <c r="N76" s="48">
        <v>1657830.0</v>
      </c>
      <c r="O76" s="36" t="s">
        <v>154</v>
      </c>
      <c r="P76" s="49"/>
      <c r="Q76" s="50">
        <v>1345820.0</v>
      </c>
      <c r="R76" s="11"/>
      <c r="S76" s="49"/>
      <c r="T76" s="50">
        <v>832134.0</v>
      </c>
      <c r="U76" s="11"/>
      <c r="V76" s="47"/>
      <c r="W76" s="48">
        <v>800856.0</v>
      </c>
      <c r="X76" s="36" t="s">
        <v>152</v>
      </c>
      <c r="Y76" s="49"/>
      <c r="Z76" s="50">
        <v>1872237.0</v>
      </c>
      <c r="AA76" s="11"/>
      <c r="AB76" s="47"/>
      <c r="AC76" s="48">
        <v>94744.0</v>
      </c>
      <c r="AD76" s="52"/>
      <c r="AE76" s="49"/>
      <c r="AF76" s="53"/>
      <c r="AG76" s="52"/>
      <c r="AH76" s="11"/>
    </row>
    <row r="77">
      <c r="A77" s="19" t="s">
        <v>155</v>
      </c>
      <c r="B77" s="20">
        <v>3861.0</v>
      </c>
      <c r="C77" s="11"/>
      <c r="D77" s="47"/>
      <c r="E77" s="48">
        <v>1.0110006E7</v>
      </c>
      <c r="F77" s="11"/>
      <c r="G77" s="47"/>
      <c r="H77" s="48">
        <v>80791.0</v>
      </c>
      <c r="I77" s="11"/>
      <c r="J77" s="49"/>
      <c r="K77" s="50">
        <v>62721.0</v>
      </c>
      <c r="L77" s="11"/>
      <c r="M77" s="47"/>
      <c r="N77" s="48">
        <v>2081524.0</v>
      </c>
      <c r="O77" s="11"/>
      <c r="P77" s="49"/>
      <c r="Q77" s="50">
        <v>1040834.0</v>
      </c>
      <c r="R77" s="11"/>
      <c r="S77" s="49"/>
      <c r="T77" s="50">
        <v>162989.0</v>
      </c>
      <c r="U77" s="11"/>
      <c r="V77" s="47"/>
      <c r="W77" s="48">
        <v>4062481.0</v>
      </c>
      <c r="X77" s="11"/>
      <c r="Y77" s="49"/>
      <c r="Z77" s="50">
        <v>2011242.0</v>
      </c>
      <c r="AA77" s="11"/>
      <c r="AB77" s="47"/>
      <c r="AC77" s="48">
        <v>2091921.0</v>
      </c>
      <c r="AD77" s="48">
        <v>625.0</v>
      </c>
      <c r="AE77" s="49"/>
      <c r="AF77" s="50">
        <v>1091083.0</v>
      </c>
      <c r="AG77" s="52"/>
      <c r="AH77" s="11"/>
    </row>
    <row r="78">
      <c r="A78" s="19" t="s">
        <v>156</v>
      </c>
      <c r="B78" s="36" t="s">
        <v>157</v>
      </c>
      <c r="C78" s="11"/>
      <c r="D78" s="47"/>
      <c r="E78" s="51" t="s">
        <v>20</v>
      </c>
      <c r="F78" s="11"/>
      <c r="G78" s="47"/>
      <c r="H78" s="51" t="s">
        <v>20</v>
      </c>
      <c r="I78" s="11"/>
      <c r="J78" s="49"/>
      <c r="K78" s="54" t="s">
        <v>20</v>
      </c>
      <c r="L78" s="11"/>
      <c r="M78" s="47"/>
      <c r="N78" s="51" t="s">
        <v>157</v>
      </c>
      <c r="O78" s="11"/>
      <c r="P78" s="49"/>
      <c r="Q78" s="54" t="s">
        <v>157</v>
      </c>
      <c r="R78" s="11"/>
      <c r="S78" s="49"/>
      <c r="T78" s="54" t="s">
        <v>20</v>
      </c>
      <c r="U78" s="11"/>
      <c r="V78" s="47"/>
      <c r="W78" s="51" t="s">
        <v>20</v>
      </c>
      <c r="X78" s="11"/>
      <c r="Y78" s="49"/>
      <c r="Z78" s="54" t="s">
        <v>157</v>
      </c>
      <c r="AA78" s="11"/>
      <c r="AB78" s="47"/>
      <c r="AC78" s="51" t="s">
        <v>157</v>
      </c>
      <c r="AD78" s="51" t="s">
        <v>152</v>
      </c>
      <c r="AE78" s="49"/>
      <c r="AF78" s="54" t="s">
        <v>157</v>
      </c>
      <c r="AG78" s="52"/>
      <c r="AH78" s="11"/>
    </row>
    <row r="79">
      <c r="A79" s="19" t="s">
        <v>158</v>
      </c>
      <c r="B79" s="36" t="s">
        <v>157</v>
      </c>
      <c r="C79" s="11"/>
      <c r="D79" s="47"/>
      <c r="E79" s="51" t="s">
        <v>20</v>
      </c>
      <c r="F79" s="11"/>
      <c r="G79" s="47"/>
      <c r="H79" s="51" t="s">
        <v>20</v>
      </c>
      <c r="I79" s="11"/>
      <c r="J79" s="49"/>
      <c r="K79" s="54" t="s">
        <v>20</v>
      </c>
      <c r="L79" s="11"/>
      <c r="M79" s="47"/>
      <c r="N79" s="51" t="s">
        <v>20</v>
      </c>
      <c r="O79" s="11"/>
      <c r="P79" s="49"/>
      <c r="Q79" s="54" t="s">
        <v>20</v>
      </c>
      <c r="R79" s="11"/>
      <c r="S79" s="49"/>
      <c r="T79" s="54" t="s">
        <v>20</v>
      </c>
      <c r="U79" s="11"/>
      <c r="V79" s="47"/>
      <c r="W79" s="51" t="s">
        <v>20</v>
      </c>
      <c r="X79" s="11"/>
      <c r="Y79" s="49"/>
      <c r="Z79" s="54" t="s">
        <v>157</v>
      </c>
      <c r="AA79" s="11"/>
      <c r="AB79" s="47"/>
      <c r="AC79" s="51" t="s">
        <v>157</v>
      </c>
      <c r="AD79" s="51" t="s">
        <v>159</v>
      </c>
      <c r="AE79" s="49"/>
      <c r="AF79" s="54" t="s">
        <v>157</v>
      </c>
      <c r="AG79" s="52"/>
      <c r="AH79" s="11"/>
    </row>
    <row r="80">
      <c r="A80" s="19" t="s">
        <v>160</v>
      </c>
      <c r="B80" s="20">
        <v>1.02305098E8</v>
      </c>
      <c r="C80" s="11"/>
      <c r="D80" s="47"/>
      <c r="E80" s="48">
        <v>1.0231352E8</v>
      </c>
      <c r="F80" s="11"/>
      <c r="G80" s="47"/>
      <c r="H80" s="48">
        <v>1.12101107E8</v>
      </c>
      <c r="I80" s="11"/>
      <c r="J80" s="49"/>
      <c r="K80" s="50">
        <v>1.1210097E8</v>
      </c>
      <c r="L80" s="11"/>
      <c r="M80" s="47"/>
      <c r="N80" s="48">
        <v>1.02310094E8</v>
      </c>
      <c r="O80" s="11"/>
      <c r="P80" s="49"/>
      <c r="Q80" s="50">
        <v>1.22102532E8</v>
      </c>
      <c r="R80" s="11"/>
      <c r="S80" s="49"/>
      <c r="T80" s="50">
        <v>1.02305824E8</v>
      </c>
      <c r="U80" s="11"/>
      <c r="V80" s="47"/>
      <c r="W80" s="48">
        <v>1.12100413E8</v>
      </c>
      <c r="X80" s="11"/>
      <c r="Y80" s="49"/>
      <c r="Z80" s="50">
        <v>1.12101804E8</v>
      </c>
      <c r="AA80" s="11"/>
      <c r="AB80" s="47"/>
      <c r="AC80" s="48">
        <v>1.0215638E7</v>
      </c>
      <c r="AD80" s="52"/>
      <c r="AE80" s="49"/>
      <c r="AF80" s="50">
        <v>1.02305996E8</v>
      </c>
      <c r="AG80" s="52"/>
      <c r="AH80" s="11"/>
    </row>
    <row r="81">
      <c r="A81" s="19" t="s">
        <v>161</v>
      </c>
      <c r="B81" s="36" t="s">
        <v>157</v>
      </c>
      <c r="C81" s="11"/>
      <c r="D81" s="47"/>
      <c r="E81" s="51" t="s">
        <v>20</v>
      </c>
      <c r="F81" s="11"/>
      <c r="G81" s="47"/>
      <c r="H81" s="51" t="s">
        <v>20</v>
      </c>
      <c r="I81" s="11"/>
      <c r="J81" s="49"/>
      <c r="K81" s="54" t="s">
        <v>162</v>
      </c>
      <c r="L81" s="11"/>
      <c r="M81" s="47"/>
      <c r="N81" s="51" t="s">
        <v>20</v>
      </c>
      <c r="O81" s="11"/>
      <c r="P81" s="49"/>
      <c r="Q81" s="54" t="s">
        <v>20</v>
      </c>
      <c r="R81" s="11"/>
      <c r="S81" s="49"/>
      <c r="T81" s="54" t="s">
        <v>20</v>
      </c>
      <c r="U81" s="11"/>
      <c r="V81" s="47"/>
      <c r="W81" s="51"/>
      <c r="X81" s="11"/>
      <c r="Y81" s="49"/>
      <c r="Z81" s="54" t="s">
        <v>20</v>
      </c>
      <c r="AA81" s="11"/>
      <c r="AB81" s="47"/>
      <c r="AC81" s="51" t="s">
        <v>162</v>
      </c>
      <c r="AD81" s="52"/>
      <c r="AE81" s="49"/>
      <c r="AF81" s="54" t="s">
        <v>157</v>
      </c>
      <c r="AG81" s="52"/>
      <c r="AH81" s="11"/>
    </row>
    <row r="82">
      <c r="A82" s="24" t="s">
        <v>163</v>
      </c>
      <c r="B82" s="36" t="s">
        <v>157</v>
      </c>
      <c r="C82" s="11"/>
      <c r="D82" s="47"/>
      <c r="E82" s="51" t="s">
        <v>20</v>
      </c>
      <c r="F82" s="11"/>
      <c r="G82" s="47"/>
      <c r="H82" s="51" t="s">
        <v>20</v>
      </c>
      <c r="I82" s="11"/>
      <c r="J82" s="49"/>
      <c r="K82" s="54" t="s">
        <v>20</v>
      </c>
      <c r="L82" s="11"/>
      <c r="M82" s="47"/>
      <c r="N82" s="51" t="s">
        <v>20</v>
      </c>
      <c r="O82" s="11"/>
      <c r="P82" s="49"/>
      <c r="Q82" s="54" t="s">
        <v>20</v>
      </c>
      <c r="R82" s="11"/>
      <c r="S82" s="49"/>
      <c r="T82" s="54" t="s">
        <v>20</v>
      </c>
      <c r="U82" s="11"/>
      <c r="V82" s="47"/>
      <c r="W82" s="51" t="s">
        <v>20</v>
      </c>
      <c r="X82" s="11"/>
      <c r="Y82" s="49"/>
      <c r="Z82" s="54" t="s">
        <v>20</v>
      </c>
      <c r="AA82" s="11"/>
      <c r="AB82" s="47"/>
      <c r="AC82" s="51" t="s">
        <v>20</v>
      </c>
      <c r="AD82" s="52"/>
      <c r="AE82" s="49"/>
      <c r="AF82" s="54" t="s">
        <v>157</v>
      </c>
      <c r="AG82" s="52"/>
      <c r="AH82" s="11"/>
    </row>
    <row r="83">
      <c r="A83" s="19" t="s">
        <v>164</v>
      </c>
      <c r="B83" s="20">
        <v>522705.0</v>
      </c>
      <c r="C83" s="11"/>
      <c r="D83" s="47"/>
      <c r="E83" s="48">
        <v>530106.0</v>
      </c>
      <c r="F83" s="11"/>
      <c r="G83" s="47"/>
      <c r="H83" s="48">
        <v>529414.0</v>
      </c>
      <c r="I83" s="11"/>
      <c r="J83" s="49"/>
      <c r="K83" s="50">
        <v>586526.0</v>
      </c>
      <c r="L83" s="11"/>
      <c r="M83" s="47"/>
      <c r="N83" s="48">
        <v>605453.0</v>
      </c>
      <c r="O83" s="11"/>
      <c r="P83" s="49"/>
      <c r="Q83" s="50">
        <v>587021.0</v>
      </c>
      <c r="R83" s="11"/>
      <c r="S83" s="49"/>
      <c r="T83" s="50">
        <v>586216.0</v>
      </c>
      <c r="U83" s="11"/>
      <c r="V83" s="47"/>
      <c r="W83" s="48">
        <v>529844.0</v>
      </c>
      <c r="X83" s="11"/>
      <c r="Y83" s="49"/>
      <c r="Z83" s="50">
        <v>605854.0</v>
      </c>
      <c r="AA83" s="11"/>
      <c r="AB83" s="47"/>
      <c r="AC83" s="48">
        <v>587107.0</v>
      </c>
      <c r="AD83" s="52"/>
      <c r="AE83" s="49"/>
      <c r="AF83" s="50">
        <v>522625.0</v>
      </c>
      <c r="AG83" s="52"/>
      <c r="AH83" s="11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</row>
  </sheetData>
  <mergeCells count="16">
    <mergeCell ref="H72:J72"/>
    <mergeCell ref="K72:M72"/>
    <mergeCell ref="N72:P72"/>
    <mergeCell ref="Q72:S72"/>
    <mergeCell ref="T72:V72"/>
    <mergeCell ref="W72:Y72"/>
    <mergeCell ref="AC72:AE72"/>
    <mergeCell ref="AF72:AH72"/>
    <mergeCell ref="P1:AC1"/>
    <mergeCell ref="P18:AC18"/>
    <mergeCell ref="P26:AB26"/>
    <mergeCell ref="P36:S36"/>
    <mergeCell ref="W36:Y36"/>
    <mergeCell ref="B72:D72"/>
    <mergeCell ref="E72:G72"/>
    <mergeCell ref="Z72:AB72"/>
  </mergeCells>
  <dataValidations>
    <dataValidation type="list" allowBlank="1" showErrorMessage="1" sqref="C13:M13">
      <formula1>"קיים,1 בלאי,2 בלאי, 1 חוסר,2 חוסר"</formula1>
    </dataValidation>
    <dataValidation type="list" allowBlank="1" showErrorMessage="1" sqref="C3:M12 C14:M18 C20:M68">
      <formula1>"קיים,בלאי,חוסר"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1.13"/>
    <col customWidth="1" min="12" max="12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55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>
      <c r="A2" s="7" t="s">
        <v>2</v>
      </c>
      <c r="B2" s="8" t="s">
        <v>17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18</v>
      </c>
      <c r="P2" s="11"/>
      <c r="Q2" s="8" t="s">
        <v>17</v>
      </c>
      <c r="R2" s="8" t="s">
        <v>6</v>
      </c>
      <c r="S2" s="8" t="s">
        <v>7</v>
      </c>
      <c r="T2" s="8" t="s">
        <v>8</v>
      </c>
      <c r="U2" s="8" t="s">
        <v>9</v>
      </c>
      <c r="V2" s="8" t="s">
        <v>10</v>
      </c>
      <c r="W2" s="8" t="s">
        <v>11</v>
      </c>
      <c r="X2" s="8" t="s">
        <v>12</v>
      </c>
      <c r="Y2" s="8" t="s">
        <v>13</v>
      </c>
      <c r="Z2" s="8" t="s">
        <v>14</v>
      </c>
      <c r="AA2" s="8" t="s">
        <v>15</v>
      </c>
      <c r="AB2" s="8" t="s">
        <v>16</v>
      </c>
      <c r="AC2" s="8" t="s">
        <v>18</v>
      </c>
    </row>
    <row r="3">
      <c r="A3" s="12" t="s">
        <v>19</v>
      </c>
      <c r="B3" s="29">
        <v>1.0</v>
      </c>
      <c r="C3" s="22" t="s">
        <v>20</v>
      </c>
      <c r="D3" s="22" t="s">
        <v>21</v>
      </c>
      <c r="E3" s="16" t="s">
        <v>20</v>
      </c>
      <c r="F3" s="16" t="s">
        <v>20</v>
      </c>
      <c r="G3" s="16" t="s">
        <v>20</v>
      </c>
      <c r="H3" s="16" t="s">
        <v>20</v>
      </c>
      <c r="I3" s="16" t="s">
        <v>20</v>
      </c>
      <c r="J3" s="16" t="s">
        <v>20</v>
      </c>
      <c r="K3" s="16" t="s">
        <v>20</v>
      </c>
      <c r="L3" s="16" t="s">
        <v>20</v>
      </c>
      <c r="M3" s="56" t="s">
        <v>20</v>
      </c>
      <c r="N3" s="13">
        <f t="shared" ref="N3:N12" si="1">COUNTIF(C3:M3, "קיים")</f>
        <v>11</v>
      </c>
      <c r="P3" s="19" t="s">
        <v>22</v>
      </c>
      <c r="Q3" s="20">
        <v>36.0</v>
      </c>
      <c r="R3" s="21">
        <v>37.0</v>
      </c>
      <c r="S3" s="21">
        <v>49.0</v>
      </c>
      <c r="T3" s="21">
        <v>41.0</v>
      </c>
      <c r="U3" s="21">
        <v>35.0</v>
      </c>
      <c r="V3" s="21">
        <v>0.0</v>
      </c>
      <c r="W3" s="21">
        <v>41.0</v>
      </c>
      <c r="X3" s="21">
        <v>30.0</v>
      </c>
      <c r="Y3" s="21">
        <v>38.0</v>
      </c>
      <c r="Z3" s="21">
        <v>42.0</v>
      </c>
      <c r="AA3" s="21">
        <v>40.0</v>
      </c>
      <c r="AB3" s="21">
        <v>0.0</v>
      </c>
      <c r="AC3" s="21">
        <f t="shared" ref="AC3:AC8" si="2">SUM(R3:AB3)</f>
        <v>353</v>
      </c>
    </row>
    <row r="4">
      <c r="A4" s="12" t="s">
        <v>23</v>
      </c>
      <c r="B4" s="29">
        <v>1.0</v>
      </c>
      <c r="C4" s="22" t="s">
        <v>20</v>
      </c>
      <c r="D4" s="22" t="s">
        <v>24</v>
      </c>
      <c r="E4" s="16" t="s">
        <v>20</v>
      </c>
      <c r="F4" s="16" t="s">
        <v>24</v>
      </c>
      <c r="G4" s="16" t="s">
        <v>20</v>
      </c>
      <c r="H4" s="16" t="s">
        <v>20</v>
      </c>
      <c r="I4" s="16" t="s">
        <v>20</v>
      </c>
      <c r="J4" s="16" t="s">
        <v>20</v>
      </c>
      <c r="K4" s="16" t="s">
        <v>20</v>
      </c>
      <c r="L4" s="16" t="s">
        <v>20</v>
      </c>
      <c r="M4" s="16" t="s">
        <v>20</v>
      </c>
      <c r="N4" s="13">
        <f t="shared" si="1"/>
        <v>9</v>
      </c>
      <c r="P4" s="24">
        <v>0.5</v>
      </c>
      <c r="Q4" s="20">
        <v>2.0</v>
      </c>
      <c r="R4" s="21">
        <v>0.0</v>
      </c>
      <c r="S4" s="21">
        <v>2.0</v>
      </c>
      <c r="T4" s="21">
        <v>0.0</v>
      </c>
      <c r="U4" s="21">
        <v>1.0</v>
      </c>
      <c r="V4" s="21">
        <v>0.0</v>
      </c>
      <c r="W4" s="21">
        <v>1.0</v>
      </c>
      <c r="X4" s="21">
        <v>0.0</v>
      </c>
      <c r="Y4" s="21">
        <v>1.0</v>
      </c>
      <c r="Z4" s="21">
        <v>1.0</v>
      </c>
      <c r="AA4" s="21">
        <v>2.0</v>
      </c>
      <c r="AB4" s="21">
        <v>1.0</v>
      </c>
      <c r="AC4" s="21">
        <f t="shared" si="2"/>
        <v>9</v>
      </c>
    </row>
    <row r="5">
      <c r="A5" s="12" t="s">
        <v>25</v>
      </c>
      <c r="B5" s="29">
        <v>1.0</v>
      </c>
      <c r="C5" s="22" t="s">
        <v>24</v>
      </c>
      <c r="D5" s="22" t="s">
        <v>24</v>
      </c>
      <c r="E5" s="16" t="s">
        <v>20</v>
      </c>
      <c r="F5" s="16" t="s">
        <v>20</v>
      </c>
      <c r="G5" s="16" t="s">
        <v>20</v>
      </c>
      <c r="H5" s="16" t="s">
        <v>24</v>
      </c>
      <c r="I5" s="16" t="s">
        <v>20</v>
      </c>
      <c r="J5" s="16" t="s">
        <v>20</v>
      </c>
      <c r="K5" s="16" t="s">
        <v>20</v>
      </c>
      <c r="L5" s="16" t="s">
        <v>24</v>
      </c>
      <c r="M5" s="16" t="s">
        <v>20</v>
      </c>
      <c r="N5" s="13">
        <f t="shared" si="1"/>
        <v>7</v>
      </c>
      <c r="P5" s="19" t="s">
        <v>26</v>
      </c>
      <c r="Q5" s="20">
        <v>10.0</v>
      </c>
      <c r="R5" s="21">
        <v>8.0</v>
      </c>
      <c r="S5" s="21">
        <v>10.0</v>
      </c>
      <c r="T5" s="21">
        <v>9.0</v>
      </c>
      <c r="U5" s="21">
        <v>3.0</v>
      </c>
      <c r="V5" s="21">
        <v>0.0</v>
      </c>
      <c r="W5" s="21">
        <v>7.0</v>
      </c>
      <c r="X5" s="21">
        <v>8.0</v>
      </c>
      <c r="Y5" s="21">
        <v>6.0</v>
      </c>
      <c r="Z5" s="21">
        <v>5.0</v>
      </c>
      <c r="AA5" s="21">
        <v>6.0</v>
      </c>
      <c r="AB5" s="21">
        <v>5.0</v>
      </c>
      <c r="AC5" s="21">
        <f t="shared" si="2"/>
        <v>67</v>
      </c>
    </row>
    <row r="6">
      <c r="A6" s="12" t="s">
        <v>27</v>
      </c>
      <c r="B6" s="29">
        <v>1.0</v>
      </c>
      <c r="C6" s="16" t="s">
        <v>24</v>
      </c>
      <c r="D6" s="16" t="s">
        <v>20</v>
      </c>
      <c r="E6" s="16" t="s">
        <v>20</v>
      </c>
      <c r="F6" s="16" t="s">
        <v>24</v>
      </c>
      <c r="G6" s="16" t="s">
        <v>20</v>
      </c>
      <c r="H6" s="16" t="s">
        <v>28</v>
      </c>
      <c r="I6" s="16" t="s">
        <v>20</v>
      </c>
      <c r="J6" s="16" t="s">
        <v>20</v>
      </c>
      <c r="K6" s="16" t="s">
        <v>20</v>
      </c>
      <c r="L6" s="16" t="s">
        <v>24</v>
      </c>
      <c r="M6" s="16" t="s">
        <v>20</v>
      </c>
      <c r="N6" s="13">
        <f t="shared" si="1"/>
        <v>7</v>
      </c>
      <c r="P6" s="19" t="s">
        <v>29</v>
      </c>
      <c r="Q6" s="20">
        <v>17.0</v>
      </c>
      <c r="R6" s="21">
        <v>24.0</v>
      </c>
      <c r="S6" s="21">
        <v>17.0</v>
      </c>
      <c r="T6" s="21">
        <v>21.0</v>
      </c>
      <c r="U6" s="21">
        <v>31.0</v>
      </c>
      <c r="V6" s="25">
        <v>0.0</v>
      </c>
      <c r="W6" s="21">
        <v>22.0</v>
      </c>
      <c r="X6" s="21">
        <v>26.0</v>
      </c>
      <c r="Y6" s="21">
        <v>24.0</v>
      </c>
      <c r="Z6" s="21">
        <v>19.0</v>
      </c>
      <c r="AA6" s="21">
        <v>21.0</v>
      </c>
      <c r="AB6" s="21">
        <v>21.0</v>
      </c>
      <c r="AC6" s="21">
        <f t="shared" si="2"/>
        <v>226</v>
      </c>
    </row>
    <row r="7">
      <c r="A7" s="12" t="s">
        <v>30</v>
      </c>
      <c r="B7" s="29">
        <v>1.0</v>
      </c>
      <c r="C7" s="16" t="s">
        <v>20</v>
      </c>
      <c r="D7" s="16" t="s">
        <v>20</v>
      </c>
      <c r="E7" s="16" t="s">
        <v>20</v>
      </c>
      <c r="F7" s="16" t="s">
        <v>20</v>
      </c>
      <c r="G7" s="16" t="s">
        <v>20</v>
      </c>
      <c r="H7" s="16" t="s">
        <v>20</v>
      </c>
      <c r="I7" s="16" t="s">
        <v>20</v>
      </c>
      <c r="J7" s="16" t="s">
        <v>20</v>
      </c>
      <c r="K7" s="16" t="s">
        <v>20</v>
      </c>
      <c r="L7" s="16" t="s">
        <v>20</v>
      </c>
      <c r="M7" s="16" t="s">
        <v>20</v>
      </c>
      <c r="N7" s="13">
        <f t="shared" si="1"/>
        <v>11</v>
      </c>
      <c r="P7" s="19" t="s">
        <v>31</v>
      </c>
      <c r="Q7" s="20">
        <v>4.0</v>
      </c>
      <c r="R7" s="21">
        <v>0.0</v>
      </c>
      <c r="S7" s="21">
        <v>0.0</v>
      </c>
      <c r="T7" s="21">
        <v>0.0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21">
        <v>1.0</v>
      </c>
      <c r="AA7" s="21">
        <v>0.0</v>
      </c>
      <c r="AB7" s="21">
        <v>0.0</v>
      </c>
      <c r="AC7" s="21">
        <f t="shared" si="2"/>
        <v>1</v>
      </c>
    </row>
    <row r="8">
      <c r="A8" s="12" t="s">
        <v>32</v>
      </c>
      <c r="B8" s="29">
        <v>1.0</v>
      </c>
      <c r="C8" s="16" t="s">
        <v>20</v>
      </c>
      <c r="D8" s="16" t="s">
        <v>20</v>
      </c>
      <c r="E8" s="16" t="s">
        <v>20</v>
      </c>
      <c r="F8" s="16" t="s">
        <v>20</v>
      </c>
      <c r="G8" s="16" t="s">
        <v>20</v>
      </c>
      <c r="H8" s="16" t="s">
        <v>20</v>
      </c>
      <c r="I8" s="16" t="s">
        <v>20</v>
      </c>
      <c r="J8" s="16" t="s">
        <v>20</v>
      </c>
      <c r="K8" s="16" t="s">
        <v>20</v>
      </c>
      <c r="L8" s="16" t="s">
        <v>20</v>
      </c>
      <c r="M8" s="16" t="s">
        <v>20</v>
      </c>
      <c r="N8" s="13">
        <f t="shared" si="1"/>
        <v>11</v>
      </c>
      <c r="P8" s="19" t="s">
        <v>33</v>
      </c>
      <c r="Q8" s="20">
        <v>3.0</v>
      </c>
      <c r="R8" s="21">
        <v>0.0</v>
      </c>
      <c r="S8" s="21">
        <v>0.0</v>
      </c>
      <c r="T8" s="21">
        <v>0.0</v>
      </c>
      <c r="U8" s="21">
        <v>0.0</v>
      </c>
      <c r="V8" s="21">
        <v>0.0</v>
      </c>
      <c r="W8" s="21">
        <v>1.0</v>
      </c>
      <c r="X8" s="21">
        <v>0.0</v>
      </c>
      <c r="Y8" s="21">
        <v>0.0</v>
      </c>
      <c r="Z8" s="21">
        <v>0.0</v>
      </c>
      <c r="AA8" s="21">
        <v>0.0</v>
      </c>
      <c r="AB8" s="21">
        <v>0.0</v>
      </c>
      <c r="AC8" s="21">
        <f t="shared" si="2"/>
        <v>1</v>
      </c>
    </row>
    <row r="9">
      <c r="A9" s="12" t="s">
        <v>34</v>
      </c>
      <c r="B9" s="29">
        <v>1.0</v>
      </c>
      <c r="C9" s="16" t="s">
        <v>20</v>
      </c>
      <c r="D9" s="16" t="s">
        <v>28</v>
      </c>
      <c r="E9" s="16" t="s">
        <v>20</v>
      </c>
      <c r="F9" s="16" t="s">
        <v>20</v>
      </c>
      <c r="G9" s="16" t="s">
        <v>20</v>
      </c>
      <c r="H9" s="16" t="s">
        <v>20</v>
      </c>
      <c r="I9" s="16" t="s">
        <v>20</v>
      </c>
      <c r="J9" s="16" t="s">
        <v>20</v>
      </c>
      <c r="K9" s="16" t="s">
        <v>20</v>
      </c>
      <c r="L9" s="16" t="s">
        <v>20</v>
      </c>
      <c r="M9" s="16" t="s">
        <v>20</v>
      </c>
      <c r="N9" s="13">
        <f t="shared" si="1"/>
        <v>10</v>
      </c>
      <c r="P9" s="19" t="s">
        <v>35</v>
      </c>
      <c r="Q9" s="20">
        <v>4.0</v>
      </c>
      <c r="R9" s="20">
        <v>0.0</v>
      </c>
      <c r="S9" s="20">
        <v>0.0</v>
      </c>
      <c r="T9" s="20">
        <v>0.0</v>
      </c>
      <c r="U9" s="20">
        <v>0.0</v>
      </c>
      <c r="V9" s="20">
        <v>0.0</v>
      </c>
      <c r="W9" s="20">
        <v>0.0</v>
      </c>
      <c r="X9" s="20">
        <v>0.0</v>
      </c>
      <c r="Y9" s="20">
        <v>0.0</v>
      </c>
      <c r="Z9" s="20">
        <v>0.0</v>
      </c>
      <c r="AA9" s="20">
        <v>0.0</v>
      </c>
      <c r="AB9" s="20">
        <v>0.0</v>
      </c>
      <c r="AC9" s="20">
        <v>0.0</v>
      </c>
    </row>
    <row r="10">
      <c r="A10" s="12" t="s">
        <v>36</v>
      </c>
      <c r="B10" s="29">
        <v>1.0</v>
      </c>
      <c r="C10" s="16" t="s">
        <v>20</v>
      </c>
      <c r="D10" s="16" t="s">
        <v>20</v>
      </c>
      <c r="E10" s="16" t="s">
        <v>20</v>
      </c>
      <c r="F10" s="16" t="s">
        <v>20</v>
      </c>
      <c r="G10" s="16" t="s">
        <v>20</v>
      </c>
      <c r="H10" s="16" t="s">
        <v>20</v>
      </c>
      <c r="I10" s="16" t="s">
        <v>20</v>
      </c>
      <c r="J10" s="16" t="s">
        <v>20</v>
      </c>
      <c r="K10" s="16" t="s">
        <v>20</v>
      </c>
      <c r="L10" s="16" t="s">
        <v>20</v>
      </c>
      <c r="M10" s="16" t="s">
        <v>20</v>
      </c>
      <c r="N10" s="13">
        <f t="shared" si="1"/>
        <v>11</v>
      </c>
      <c r="P10" s="19" t="s">
        <v>37</v>
      </c>
      <c r="Q10" s="11"/>
      <c r="R10" s="20">
        <v>0.0</v>
      </c>
      <c r="S10" s="20">
        <v>0.0</v>
      </c>
      <c r="T10" s="20">
        <v>0.0</v>
      </c>
      <c r="U10" s="20">
        <v>0.0</v>
      </c>
      <c r="V10" s="20">
        <v>0.0</v>
      </c>
      <c r="W10" s="20">
        <v>0.0</v>
      </c>
      <c r="X10" s="20">
        <v>0.0</v>
      </c>
      <c r="Y10" s="20">
        <v>0.0</v>
      </c>
      <c r="Z10" s="20">
        <v>0.0</v>
      </c>
      <c r="AA10" s="20">
        <v>0.0</v>
      </c>
      <c r="AB10" s="20">
        <v>0.0</v>
      </c>
      <c r="AC10" s="20">
        <v>0.0</v>
      </c>
    </row>
    <row r="11">
      <c r="A11" s="12" t="s">
        <v>38</v>
      </c>
      <c r="B11" s="29">
        <v>1.0</v>
      </c>
      <c r="C11" s="16" t="s">
        <v>20</v>
      </c>
      <c r="D11" s="16" t="s">
        <v>20</v>
      </c>
      <c r="E11" s="16" t="s">
        <v>20</v>
      </c>
      <c r="F11" s="16" t="s">
        <v>20</v>
      </c>
      <c r="G11" s="16" t="s">
        <v>20</v>
      </c>
      <c r="H11" s="16" t="s">
        <v>20</v>
      </c>
      <c r="I11" s="16" t="s">
        <v>20</v>
      </c>
      <c r="J11" s="16" t="s">
        <v>20</v>
      </c>
      <c r="K11" s="16" t="s">
        <v>20</v>
      </c>
      <c r="L11" s="16" t="s">
        <v>28</v>
      </c>
      <c r="M11" s="16" t="s">
        <v>20</v>
      </c>
      <c r="N11" s="13">
        <f t="shared" si="1"/>
        <v>10</v>
      </c>
      <c r="P11" s="19" t="s">
        <v>39</v>
      </c>
      <c r="Q11" s="11"/>
      <c r="R11" s="20">
        <v>8.0</v>
      </c>
      <c r="S11" s="20">
        <v>7.0</v>
      </c>
      <c r="T11" s="20">
        <v>0.0</v>
      </c>
      <c r="U11" s="20">
        <v>0.0</v>
      </c>
      <c r="V11" s="20">
        <v>0.0</v>
      </c>
      <c r="W11" s="20">
        <v>0.0</v>
      </c>
      <c r="X11" s="20">
        <v>8.0</v>
      </c>
      <c r="Y11" s="20">
        <v>0.0</v>
      </c>
      <c r="Z11" s="20">
        <v>0.0</v>
      </c>
      <c r="AA11" s="20">
        <v>0.0</v>
      </c>
      <c r="AB11" s="20">
        <v>0.0</v>
      </c>
      <c r="AC11" s="20">
        <v>23.0</v>
      </c>
    </row>
    <row r="12">
      <c r="A12" s="12" t="s">
        <v>40</v>
      </c>
      <c r="B12" s="29">
        <v>1.0</v>
      </c>
      <c r="C12" s="16" t="s">
        <v>20</v>
      </c>
      <c r="D12" s="16" t="s">
        <v>20</v>
      </c>
      <c r="E12" s="16" t="s">
        <v>20</v>
      </c>
      <c r="F12" s="16" t="s">
        <v>20</v>
      </c>
      <c r="G12" s="16" t="s">
        <v>20</v>
      </c>
      <c r="H12" s="16" t="s">
        <v>20</v>
      </c>
      <c r="I12" s="16" t="s">
        <v>20</v>
      </c>
      <c r="J12" s="16" t="s">
        <v>20</v>
      </c>
      <c r="K12" s="16" t="s">
        <v>20</v>
      </c>
      <c r="L12" s="16" t="s">
        <v>28</v>
      </c>
      <c r="M12" s="16" t="s">
        <v>20</v>
      </c>
      <c r="N12" s="13">
        <f t="shared" si="1"/>
        <v>10</v>
      </c>
      <c r="P12" s="19" t="s">
        <v>41</v>
      </c>
      <c r="Q12" s="11"/>
      <c r="R12" s="20">
        <v>6.0</v>
      </c>
      <c r="S12" s="20">
        <v>6.0</v>
      </c>
      <c r="T12" s="20">
        <v>3.0</v>
      </c>
      <c r="U12" s="20">
        <v>0.0</v>
      </c>
      <c r="V12" s="20">
        <v>0.0</v>
      </c>
      <c r="W12" s="20">
        <v>0.0</v>
      </c>
      <c r="X12" s="20">
        <v>3.0</v>
      </c>
      <c r="Y12" s="20">
        <v>0.0</v>
      </c>
      <c r="Z12" s="20">
        <v>3.0</v>
      </c>
      <c r="AA12" s="20">
        <v>0.0</v>
      </c>
      <c r="AB12" s="20">
        <v>0.0</v>
      </c>
      <c r="AC12" s="20">
        <v>21.0</v>
      </c>
    </row>
    <row r="13">
      <c r="A13" s="26" t="s">
        <v>165</v>
      </c>
      <c r="B13" s="29">
        <v>2.0</v>
      </c>
      <c r="C13" s="16" t="s">
        <v>166</v>
      </c>
      <c r="D13" s="16" t="s">
        <v>166</v>
      </c>
      <c r="E13" s="16" t="s">
        <v>166</v>
      </c>
      <c r="F13" s="16" t="s">
        <v>166</v>
      </c>
      <c r="G13" s="16" t="s">
        <v>166</v>
      </c>
      <c r="H13" s="16" t="s">
        <v>166</v>
      </c>
      <c r="I13" s="16" t="s">
        <v>166</v>
      </c>
      <c r="J13" s="16" t="s">
        <v>166</v>
      </c>
      <c r="K13" s="16" t="s">
        <v>166</v>
      </c>
      <c r="L13" s="16" t="s">
        <v>166</v>
      </c>
      <c r="M13" s="16" t="s">
        <v>166</v>
      </c>
      <c r="N13" s="13">
        <f t="array" ref="N13">COUNTIF(C13:M13, "קיים") * 2 + COUNTIF(C13:M13,{" 1 חוסר","1 בלאי"})</f>
        <v>11</v>
      </c>
      <c r="P13" s="19" t="s">
        <v>44</v>
      </c>
      <c r="Q13" s="20">
        <v>6.0</v>
      </c>
      <c r="R13" s="20">
        <v>6.0</v>
      </c>
      <c r="S13" s="20">
        <v>6.0</v>
      </c>
      <c r="T13" s="20">
        <v>6.0</v>
      </c>
      <c r="U13" s="20">
        <v>6.0</v>
      </c>
      <c r="V13" s="20">
        <v>0.0</v>
      </c>
      <c r="W13" s="20">
        <v>6.0</v>
      </c>
      <c r="X13" s="20">
        <v>6.0</v>
      </c>
      <c r="Y13" s="20">
        <v>6.0</v>
      </c>
      <c r="Z13" s="20">
        <v>6.0</v>
      </c>
      <c r="AA13" s="20">
        <v>6.0</v>
      </c>
      <c r="AB13" s="20">
        <v>6.0</v>
      </c>
      <c r="AC13" s="20">
        <v>60.0</v>
      </c>
    </row>
    <row r="14">
      <c r="A14" s="12" t="s">
        <v>45</v>
      </c>
      <c r="B14" s="29">
        <v>1.0</v>
      </c>
      <c r="C14" s="16" t="s">
        <v>20</v>
      </c>
      <c r="D14" s="16" t="s">
        <v>20</v>
      </c>
      <c r="E14" s="16" t="s">
        <v>20</v>
      </c>
      <c r="F14" s="16" t="s">
        <v>20</v>
      </c>
      <c r="G14" s="16" t="s">
        <v>20</v>
      </c>
      <c r="H14" s="16" t="s">
        <v>20</v>
      </c>
      <c r="I14" s="16" t="s">
        <v>20</v>
      </c>
      <c r="J14" s="16" t="s">
        <v>20</v>
      </c>
      <c r="K14" s="16" t="s">
        <v>28</v>
      </c>
      <c r="L14" s="16" t="s">
        <v>20</v>
      </c>
      <c r="M14" s="16" t="s">
        <v>20</v>
      </c>
      <c r="N14" s="13">
        <f t="shared" ref="N14:N18" si="3">COUNTIF(C14:M14, "קיים")</f>
        <v>10</v>
      </c>
      <c r="P14" s="19" t="s">
        <v>46</v>
      </c>
      <c r="Q14" s="20">
        <v>1.0</v>
      </c>
      <c r="R14" s="20">
        <v>1.0</v>
      </c>
      <c r="S14" s="20">
        <v>1.0</v>
      </c>
      <c r="T14" s="20">
        <v>1.0</v>
      </c>
      <c r="U14" s="20">
        <v>1.0</v>
      </c>
      <c r="V14" s="20">
        <v>0.0</v>
      </c>
      <c r="W14" s="20">
        <v>0.0</v>
      </c>
      <c r="X14" s="20">
        <v>1.0</v>
      </c>
      <c r="Y14" s="20">
        <v>1.0</v>
      </c>
      <c r="Z14" s="20">
        <v>1.0</v>
      </c>
      <c r="AA14" s="20">
        <v>0.0</v>
      </c>
      <c r="AB14" s="20">
        <v>1.0</v>
      </c>
      <c r="AC14" s="20">
        <v>8.0</v>
      </c>
    </row>
    <row r="15">
      <c r="A15" s="12" t="s">
        <v>47</v>
      </c>
      <c r="B15" s="29">
        <v>1.0</v>
      </c>
      <c r="C15" s="16" t="s">
        <v>20</v>
      </c>
      <c r="D15" s="16" t="s">
        <v>20</v>
      </c>
      <c r="E15" s="16" t="s">
        <v>20</v>
      </c>
      <c r="F15" s="16" t="s">
        <v>20</v>
      </c>
      <c r="G15" s="16" t="s">
        <v>20</v>
      </c>
      <c r="H15" s="16" t="s">
        <v>20</v>
      </c>
      <c r="I15" s="16" t="s">
        <v>28</v>
      </c>
      <c r="J15" s="16" t="s">
        <v>20</v>
      </c>
      <c r="K15" s="16" t="s">
        <v>20</v>
      </c>
      <c r="L15" s="16" t="s">
        <v>28</v>
      </c>
      <c r="M15" s="16" t="s">
        <v>20</v>
      </c>
      <c r="N15" s="13">
        <f t="shared" si="3"/>
        <v>9</v>
      </c>
      <c r="P15" s="19" t="s">
        <v>48</v>
      </c>
      <c r="Q15" s="20">
        <v>1.0</v>
      </c>
      <c r="R15" s="20">
        <v>0.0</v>
      </c>
      <c r="S15" s="20">
        <v>0.0</v>
      </c>
      <c r="T15" s="20">
        <v>0.0</v>
      </c>
      <c r="U15" s="20">
        <v>0.0</v>
      </c>
      <c r="V15" s="20">
        <v>0.0</v>
      </c>
      <c r="W15" s="20">
        <v>0.0</v>
      </c>
      <c r="X15" s="20">
        <v>0.0</v>
      </c>
      <c r="Y15" s="20">
        <v>1.0</v>
      </c>
      <c r="Z15" s="20">
        <v>0.0</v>
      </c>
      <c r="AA15" s="20">
        <v>0.0</v>
      </c>
      <c r="AB15" s="20">
        <v>1.0</v>
      </c>
      <c r="AC15" s="20">
        <v>2.0</v>
      </c>
    </row>
    <row r="16">
      <c r="A16" s="12" t="s">
        <v>49</v>
      </c>
      <c r="B16" s="29">
        <v>1.0</v>
      </c>
      <c r="C16" s="16" t="s">
        <v>24</v>
      </c>
      <c r="D16" s="16" t="s">
        <v>20</v>
      </c>
      <c r="E16" s="16" t="s">
        <v>20</v>
      </c>
      <c r="F16" s="16" t="s">
        <v>20</v>
      </c>
      <c r="G16" s="16" t="s">
        <v>20</v>
      </c>
      <c r="H16" s="16" t="s">
        <v>20</v>
      </c>
      <c r="I16" s="16" t="s">
        <v>20</v>
      </c>
      <c r="J16" s="16" t="s">
        <v>20</v>
      </c>
      <c r="K16" s="16" t="s">
        <v>20</v>
      </c>
      <c r="L16" s="16" t="s">
        <v>28</v>
      </c>
      <c r="M16" s="16" t="s">
        <v>20</v>
      </c>
      <c r="N16" s="13">
        <f t="shared" si="3"/>
        <v>9</v>
      </c>
    </row>
    <row r="17">
      <c r="A17" s="12" t="s">
        <v>50</v>
      </c>
      <c r="B17" s="29">
        <v>1.0</v>
      </c>
      <c r="C17" s="16" t="s">
        <v>20</v>
      </c>
      <c r="D17" s="16" t="s">
        <v>20</v>
      </c>
      <c r="E17" s="16" t="s">
        <v>20</v>
      </c>
      <c r="F17" s="16" t="s">
        <v>20</v>
      </c>
      <c r="G17" s="16" t="s">
        <v>20</v>
      </c>
      <c r="H17" s="16" t="s">
        <v>20</v>
      </c>
      <c r="I17" s="16" t="s">
        <v>20</v>
      </c>
      <c r="J17" s="16" t="s">
        <v>20</v>
      </c>
      <c r="K17" s="16" t="s">
        <v>20</v>
      </c>
      <c r="L17" s="16" t="s">
        <v>20</v>
      </c>
      <c r="M17" s="16" t="s">
        <v>20</v>
      </c>
      <c r="N17" s="13">
        <f t="shared" si="3"/>
        <v>11</v>
      </c>
    </row>
    <row r="18">
      <c r="A18" s="12" t="s">
        <v>51</v>
      </c>
      <c r="B18" s="29">
        <v>1.0</v>
      </c>
      <c r="C18" s="16" t="s">
        <v>20</v>
      </c>
      <c r="D18" s="16" t="s">
        <v>20</v>
      </c>
      <c r="E18" s="16" t="s">
        <v>20</v>
      </c>
      <c r="F18" s="16" t="s">
        <v>20</v>
      </c>
      <c r="G18" s="16" t="s">
        <v>20</v>
      </c>
      <c r="H18" s="16" t="s">
        <v>20</v>
      </c>
      <c r="I18" s="16" t="s">
        <v>20</v>
      </c>
      <c r="J18" s="16" t="s">
        <v>20</v>
      </c>
      <c r="K18" s="16" t="s">
        <v>20</v>
      </c>
      <c r="L18" s="16" t="s">
        <v>20</v>
      </c>
      <c r="M18" s="16" t="s">
        <v>20</v>
      </c>
      <c r="N18" s="13">
        <f t="shared" si="3"/>
        <v>11</v>
      </c>
      <c r="P18" s="1" t="s">
        <v>52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6"/>
    </row>
    <row r="19">
      <c r="A19" s="12" t="s">
        <v>167</v>
      </c>
      <c r="B19" s="29">
        <v>9.0</v>
      </c>
      <c r="C19" s="57" t="s">
        <v>20</v>
      </c>
      <c r="D19" s="21" t="s">
        <v>20</v>
      </c>
      <c r="E19" s="21" t="s">
        <v>20</v>
      </c>
      <c r="F19" s="16" t="s">
        <v>168</v>
      </c>
      <c r="G19" s="21" t="s">
        <v>20</v>
      </c>
      <c r="H19" s="16" t="s">
        <v>169</v>
      </c>
      <c r="I19" s="21" t="s">
        <v>20</v>
      </c>
      <c r="J19" s="21" t="s">
        <v>20</v>
      </c>
      <c r="K19" s="16" t="s">
        <v>170</v>
      </c>
      <c r="L19" s="21" t="s">
        <v>20</v>
      </c>
      <c r="M19" s="16" t="s">
        <v>168</v>
      </c>
      <c r="N19" s="13"/>
      <c r="P19" s="27"/>
      <c r="Q19" s="8" t="s">
        <v>17</v>
      </c>
      <c r="R19" s="8" t="s">
        <v>6</v>
      </c>
      <c r="S19" s="8" t="s">
        <v>7</v>
      </c>
      <c r="T19" s="8" t="s">
        <v>8</v>
      </c>
      <c r="U19" s="8" t="s">
        <v>9</v>
      </c>
      <c r="V19" s="8" t="s">
        <v>10</v>
      </c>
      <c r="W19" s="8" t="s">
        <v>11</v>
      </c>
      <c r="X19" s="8" t="s">
        <v>12</v>
      </c>
      <c r="Y19" s="8" t="s">
        <v>13</v>
      </c>
      <c r="Z19" s="8" t="s">
        <v>14</v>
      </c>
      <c r="AA19" s="8" t="s">
        <v>15</v>
      </c>
      <c r="AB19" s="8" t="s">
        <v>16</v>
      </c>
      <c r="AC19" s="8" t="s">
        <v>18</v>
      </c>
    </row>
    <row r="20">
      <c r="A20" s="28" t="s">
        <v>62</v>
      </c>
      <c r="B20" s="29">
        <v>1.0</v>
      </c>
      <c r="C20" s="16" t="s">
        <v>20</v>
      </c>
      <c r="D20" s="16" t="s">
        <v>20</v>
      </c>
      <c r="E20" s="16" t="s">
        <v>20</v>
      </c>
      <c r="F20" s="16" t="s">
        <v>20</v>
      </c>
      <c r="G20" s="16" t="s">
        <v>20</v>
      </c>
      <c r="H20" s="16" t="s">
        <v>20</v>
      </c>
      <c r="I20" s="16" t="s">
        <v>20</v>
      </c>
      <c r="J20" s="16" t="s">
        <v>20</v>
      </c>
      <c r="K20" s="16" t="s">
        <v>28</v>
      </c>
      <c r="L20" s="16" t="s">
        <v>20</v>
      </c>
      <c r="M20" s="16" t="s">
        <v>20</v>
      </c>
      <c r="N20" s="13">
        <f t="shared" ref="N20:N68" si="4">COUNTIF(C20:M20, "קיים")</f>
        <v>10</v>
      </c>
      <c r="P20" s="19" t="s">
        <v>63</v>
      </c>
      <c r="Q20" s="29">
        <v>2.0</v>
      </c>
      <c r="R20" s="29">
        <v>1.0</v>
      </c>
      <c r="S20" s="29">
        <v>2.0</v>
      </c>
      <c r="T20" s="29">
        <v>2.0</v>
      </c>
      <c r="U20" s="29">
        <v>1.0</v>
      </c>
      <c r="V20" s="29">
        <v>0.0</v>
      </c>
      <c r="W20" s="29">
        <v>2.0</v>
      </c>
      <c r="X20" s="29">
        <v>2.0</v>
      </c>
      <c r="Y20" s="29">
        <v>2.0</v>
      </c>
      <c r="Z20" s="29">
        <v>1.0</v>
      </c>
      <c r="AA20" s="29">
        <v>1.0</v>
      </c>
      <c r="AB20" s="29">
        <v>2.0</v>
      </c>
      <c r="AC20" s="11">
        <f>SUM(R20:AB20)</f>
        <v>16</v>
      </c>
    </row>
    <row r="21">
      <c r="A21" s="28" t="s">
        <v>64</v>
      </c>
      <c r="B21" s="29">
        <v>1.0</v>
      </c>
      <c r="C21" s="16" t="s">
        <v>20</v>
      </c>
      <c r="D21" s="16" t="s">
        <v>20</v>
      </c>
      <c r="E21" s="16" t="s">
        <v>20</v>
      </c>
      <c r="F21" s="16" t="s">
        <v>20</v>
      </c>
      <c r="G21" s="16" t="s">
        <v>20</v>
      </c>
      <c r="H21" s="16" t="s">
        <v>20</v>
      </c>
      <c r="I21" s="16" t="s">
        <v>20</v>
      </c>
      <c r="J21" s="16" t="s">
        <v>20</v>
      </c>
      <c r="K21" s="16" t="s">
        <v>20</v>
      </c>
      <c r="L21" s="16" t="s">
        <v>20</v>
      </c>
      <c r="M21" s="16" t="s">
        <v>20</v>
      </c>
      <c r="N21" s="13">
        <f t="shared" si="4"/>
        <v>11</v>
      </c>
      <c r="P21" s="19" t="s">
        <v>65</v>
      </c>
      <c r="Q21" s="29">
        <v>2.0</v>
      </c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11"/>
    </row>
    <row r="22">
      <c r="A22" s="28" t="s">
        <v>66</v>
      </c>
      <c r="B22" s="29">
        <v>1.0</v>
      </c>
      <c r="C22" s="16" t="s">
        <v>20</v>
      </c>
      <c r="D22" s="16" t="s">
        <v>20</v>
      </c>
      <c r="E22" s="16" t="s">
        <v>20</v>
      </c>
      <c r="F22" s="16" t="s">
        <v>20</v>
      </c>
      <c r="G22" s="16" t="s">
        <v>20</v>
      </c>
      <c r="H22" s="16" t="s">
        <v>20</v>
      </c>
      <c r="I22" s="16" t="s">
        <v>28</v>
      </c>
      <c r="J22" s="16" t="s">
        <v>20</v>
      </c>
      <c r="K22" s="16" t="s">
        <v>20</v>
      </c>
      <c r="L22" s="16" t="s">
        <v>20</v>
      </c>
      <c r="M22" s="16" t="s">
        <v>20</v>
      </c>
      <c r="N22" s="13">
        <f t="shared" si="4"/>
        <v>10</v>
      </c>
      <c r="P22" s="19" t="s">
        <v>67</v>
      </c>
      <c r="Q22" s="29">
        <v>2.0</v>
      </c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11"/>
    </row>
    <row r="23">
      <c r="A23" s="28" t="s">
        <v>68</v>
      </c>
      <c r="B23" s="29">
        <v>1.0</v>
      </c>
      <c r="C23" s="16" t="s">
        <v>20</v>
      </c>
      <c r="D23" s="16" t="s">
        <v>20</v>
      </c>
      <c r="E23" s="16" t="s">
        <v>20</v>
      </c>
      <c r="F23" s="16" t="s">
        <v>20</v>
      </c>
      <c r="G23" s="16" t="s">
        <v>20</v>
      </c>
      <c r="H23" s="16" t="s">
        <v>20</v>
      </c>
      <c r="I23" s="16" t="s">
        <v>20</v>
      </c>
      <c r="J23" s="16" t="s">
        <v>20</v>
      </c>
      <c r="K23" s="16" t="s">
        <v>20</v>
      </c>
      <c r="L23" s="16" t="s">
        <v>20</v>
      </c>
      <c r="M23" s="16" t="s">
        <v>20</v>
      </c>
      <c r="N23" s="13">
        <f t="shared" si="4"/>
        <v>11</v>
      </c>
      <c r="P23" s="19" t="s">
        <v>69</v>
      </c>
      <c r="Q23" s="29">
        <v>2.0</v>
      </c>
      <c r="R23" s="13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28" t="s">
        <v>70</v>
      </c>
      <c r="B24" s="29">
        <v>1.0</v>
      </c>
      <c r="C24" s="16" t="s">
        <v>20</v>
      </c>
      <c r="D24" s="16" t="s">
        <v>20</v>
      </c>
      <c r="E24" s="16" t="s">
        <v>20</v>
      </c>
      <c r="F24" s="16" t="s">
        <v>20</v>
      </c>
      <c r="G24" s="16" t="s">
        <v>20</v>
      </c>
      <c r="H24" s="16" t="s">
        <v>20</v>
      </c>
      <c r="I24" s="16" t="s">
        <v>20</v>
      </c>
      <c r="J24" s="16" t="s">
        <v>20</v>
      </c>
      <c r="K24" s="16" t="s">
        <v>20</v>
      </c>
      <c r="L24" s="16" t="s">
        <v>20</v>
      </c>
      <c r="M24" s="16" t="s">
        <v>20</v>
      </c>
      <c r="N24" s="13">
        <f t="shared" si="4"/>
        <v>11</v>
      </c>
      <c r="P24" s="19" t="s">
        <v>71</v>
      </c>
      <c r="Q24" s="29">
        <v>1.0</v>
      </c>
      <c r="R24" s="13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>
        <f>SUM(R24:AB24)</f>
        <v>0</v>
      </c>
    </row>
    <row r="25">
      <c r="A25" s="28" t="s">
        <v>72</v>
      </c>
      <c r="B25" s="29">
        <v>1.0</v>
      </c>
      <c r="C25" s="16" t="s">
        <v>20</v>
      </c>
      <c r="D25" s="16" t="s">
        <v>20</v>
      </c>
      <c r="E25" s="16" t="s">
        <v>20</v>
      </c>
      <c r="F25" s="16" t="s">
        <v>28</v>
      </c>
      <c r="G25" s="16" t="s">
        <v>20</v>
      </c>
      <c r="H25" s="16" t="s">
        <v>20</v>
      </c>
      <c r="I25" s="16" t="s">
        <v>20</v>
      </c>
      <c r="J25" s="16" t="s">
        <v>20</v>
      </c>
      <c r="K25" s="16" t="s">
        <v>28</v>
      </c>
      <c r="L25" s="16" t="s">
        <v>28</v>
      </c>
      <c r="M25" s="16" t="s">
        <v>20</v>
      </c>
      <c r="N25" s="13">
        <f t="shared" si="4"/>
        <v>8</v>
      </c>
      <c r="P25" s="30"/>
      <c r="Q25" s="31"/>
      <c r="R25" s="31"/>
      <c r="S25" s="31"/>
    </row>
    <row r="26">
      <c r="A26" s="28" t="s">
        <v>73</v>
      </c>
      <c r="B26" s="29">
        <v>1.0</v>
      </c>
      <c r="C26" s="16" t="s">
        <v>20</v>
      </c>
      <c r="D26" s="16" t="s">
        <v>20</v>
      </c>
      <c r="E26" s="16" t="s">
        <v>20</v>
      </c>
      <c r="F26" s="16" t="s">
        <v>20</v>
      </c>
      <c r="G26" s="16" t="s">
        <v>20</v>
      </c>
      <c r="H26" s="16" t="s">
        <v>20</v>
      </c>
      <c r="I26" s="16" t="s">
        <v>20</v>
      </c>
      <c r="J26" s="16" t="s">
        <v>20</v>
      </c>
      <c r="K26" s="16" t="s">
        <v>20</v>
      </c>
      <c r="L26" s="16" t="s">
        <v>20</v>
      </c>
      <c r="M26" s="16" t="s">
        <v>20</v>
      </c>
      <c r="N26" s="13">
        <f t="shared" si="4"/>
        <v>11</v>
      </c>
      <c r="P26" s="32" t="s">
        <v>74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>
      <c r="A27" s="28" t="s">
        <v>75</v>
      </c>
      <c r="B27" s="29">
        <v>1.0</v>
      </c>
      <c r="C27" s="16" t="s">
        <v>20</v>
      </c>
      <c r="D27" s="16" t="s">
        <v>20</v>
      </c>
      <c r="E27" s="16" t="s">
        <v>20</v>
      </c>
      <c r="F27" s="16" t="s">
        <v>20</v>
      </c>
      <c r="G27" s="16" t="s">
        <v>20</v>
      </c>
      <c r="H27" s="16" t="s">
        <v>20</v>
      </c>
      <c r="I27" s="16" t="s">
        <v>20</v>
      </c>
      <c r="J27" s="16" t="s">
        <v>20</v>
      </c>
      <c r="K27" s="16" t="s">
        <v>20</v>
      </c>
      <c r="L27" s="16" t="s">
        <v>20</v>
      </c>
      <c r="M27" s="16" t="s">
        <v>20</v>
      </c>
      <c r="N27" s="13">
        <f t="shared" si="4"/>
        <v>11</v>
      </c>
      <c r="P27" s="33"/>
      <c r="Q27" s="8" t="s">
        <v>17</v>
      </c>
      <c r="R27" s="8" t="s">
        <v>6</v>
      </c>
      <c r="S27" s="8" t="s">
        <v>7</v>
      </c>
      <c r="T27" s="8" t="s">
        <v>8</v>
      </c>
      <c r="U27" s="8" t="s">
        <v>9</v>
      </c>
      <c r="V27" s="8" t="s">
        <v>10</v>
      </c>
      <c r="W27" s="8" t="s">
        <v>11</v>
      </c>
      <c r="X27" s="8" t="s">
        <v>12</v>
      </c>
      <c r="Y27" s="8" t="s">
        <v>13</v>
      </c>
      <c r="Z27" s="8" t="s">
        <v>14</v>
      </c>
      <c r="AA27" s="8" t="s">
        <v>15</v>
      </c>
      <c r="AB27" s="8" t="s">
        <v>16</v>
      </c>
    </row>
    <row r="28">
      <c r="A28" s="28" t="s">
        <v>76</v>
      </c>
      <c r="B28" s="29">
        <v>1.0</v>
      </c>
      <c r="C28" s="16" t="s">
        <v>28</v>
      </c>
      <c r="D28" s="16" t="s">
        <v>28</v>
      </c>
      <c r="E28" s="16" t="s">
        <v>28</v>
      </c>
      <c r="F28" s="16" t="s">
        <v>28</v>
      </c>
      <c r="G28" s="16" t="s">
        <v>28</v>
      </c>
      <c r="H28" s="16" t="s">
        <v>28</v>
      </c>
      <c r="I28" s="16" t="s">
        <v>28</v>
      </c>
      <c r="J28" s="16" t="s">
        <v>28</v>
      </c>
      <c r="K28" s="16" t="s">
        <v>28</v>
      </c>
      <c r="L28" s="16" t="s">
        <v>28</v>
      </c>
      <c r="M28" s="16" t="s">
        <v>28</v>
      </c>
      <c r="N28" s="13">
        <f t="shared" si="4"/>
        <v>0</v>
      </c>
      <c r="P28" s="34" t="s">
        <v>77</v>
      </c>
      <c r="Q28" s="20">
        <v>1.0</v>
      </c>
      <c r="R28" s="20">
        <v>1.0</v>
      </c>
      <c r="S28" s="20">
        <v>1.0</v>
      </c>
      <c r="T28" s="20">
        <v>1.0</v>
      </c>
      <c r="U28" s="20">
        <v>1.0</v>
      </c>
      <c r="V28" s="20">
        <v>1.0</v>
      </c>
      <c r="W28" s="20">
        <v>1.0</v>
      </c>
      <c r="X28" s="20">
        <v>1.0</v>
      </c>
      <c r="Y28" s="20">
        <v>1.0</v>
      </c>
      <c r="Z28" s="20">
        <v>1.0</v>
      </c>
      <c r="AA28" s="20">
        <v>1.0</v>
      </c>
      <c r="AB28" s="20">
        <v>1.0</v>
      </c>
    </row>
    <row r="29">
      <c r="A29" s="28" t="s">
        <v>78</v>
      </c>
      <c r="B29" s="29">
        <v>1.0</v>
      </c>
      <c r="C29" s="16" t="s">
        <v>20</v>
      </c>
      <c r="D29" s="16" t="s">
        <v>24</v>
      </c>
      <c r="E29" s="16" t="s">
        <v>20</v>
      </c>
      <c r="F29" s="16" t="s">
        <v>20</v>
      </c>
      <c r="G29" s="16" t="s">
        <v>20</v>
      </c>
      <c r="H29" s="16" t="s">
        <v>20</v>
      </c>
      <c r="I29" s="16" t="s">
        <v>20</v>
      </c>
      <c r="J29" s="16" t="s">
        <v>20</v>
      </c>
      <c r="K29" s="16" t="s">
        <v>20</v>
      </c>
      <c r="L29" s="16" t="s">
        <v>20</v>
      </c>
      <c r="M29" s="16" t="s">
        <v>20</v>
      </c>
      <c r="N29" s="13">
        <f t="shared" si="4"/>
        <v>10</v>
      </c>
      <c r="P29" s="34" t="s">
        <v>79</v>
      </c>
      <c r="Q29" s="20">
        <v>5.0</v>
      </c>
      <c r="R29" s="20">
        <v>5.0</v>
      </c>
      <c r="S29" s="20">
        <v>5.0</v>
      </c>
      <c r="T29" s="20">
        <v>5.0</v>
      </c>
      <c r="U29" s="20">
        <v>5.0</v>
      </c>
      <c r="V29" s="20">
        <v>5.0</v>
      </c>
      <c r="W29" s="20">
        <v>5.0</v>
      </c>
      <c r="X29" s="20">
        <v>5.0</v>
      </c>
      <c r="Y29" s="20">
        <v>5.0</v>
      </c>
      <c r="Z29" s="20">
        <v>5.0</v>
      </c>
      <c r="AA29" s="20">
        <v>5.0</v>
      </c>
      <c r="AB29" s="20">
        <v>5.0</v>
      </c>
    </row>
    <row r="30">
      <c r="A30" s="28" t="s">
        <v>80</v>
      </c>
      <c r="B30" s="29">
        <v>1.0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28</v>
      </c>
      <c r="L30" s="16" t="s">
        <v>20</v>
      </c>
      <c r="M30" s="16" t="s">
        <v>20</v>
      </c>
      <c r="N30" s="13">
        <f t="shared" si="4"/>
        <v>10</v>
      </c>
      <c r="P30" s="34" t="s">
        <v>81</v>
      </c>
      <c r="Q30" s="20">
        <v>5.0</v>
      </c>
      <c r="R30" s="20">
        <v>5.0</v>
      </c>
      <c r="S30" s="20">
        <v>5.0</v>
      </c>
      <c r="T30" s="20">
        <v>5.0</v>
      </c>
      <c r="U30" s="20">
        <v>5.0</v>
      </c>
      <c r="V30" s="20">
        <v>5.0</v>
      </c>
      <c r="W30" s="20">
        <v>5.0</v>
      </c>
      <c r="X30" s="20">
        <v>5.0</v>
      </c>
      <c r="Y30" s="20">
        <v>5.0</v>
      </c>
      <c r="Z30" s="20">
        <v>5.0</v>
      </c>
      <c r="AA30" s="20">
        <v>5.0</v>
      </c>
      <c r="AB30" s="20">
        <v>5.0</v>
      </c>
    </row>
    <row r="31">
      <c r="A31" s="28" t="s">
        <v>82</v>
      </c>
      <c r="B31" s="29">
        <v>1.0</v>
      </c>
      <c r="C31" s="16" t="s">
        <v>20</v>
      </c>
      <c r="D31" s="16" t="s">
        <v>20</v>
      </c>
      <c r="E31" s="16" t="s">
        <v>20</v>
      </c>
      <c r="F31" s="16" t="s">
        <v>28</v>
      </c>
      <c r="G31" s="16" t="s">
        <v>20</v>
      </c>
      <c r="H31" s="16" t="s">
        <v>20</v>
      </c>
      <c r="I31" s="16" t="s">
        <v>20</v>
      </c>
      <c r="J31" s="16" t="s">
        <v>20</v>
      </c>
      <c r="K31" s="16" t="s">
        <v>28</v>
      </c>
      <c r="L31" s="16" t="s">
        <v>20</v>
      </c>
      <c r="M31" s="16" t="s">
        <v>20</v>
      </c>
      <c r="N31" s="13">
        <f t="shared" si="4"/>
        <v>9</v>
      </c>
      <c r="P31" s="34" t="s">
        <v>83</v>
      </c>
      <c r="Q31" s="20">
        <v>1.0</v>
      </c>
      <c r="R31" s="20">
        <v>1.0</v>
      </c>
      <c r="S31" s="20">
        <v>1.0</v>
      </c>
      <c r="T31" s="20">
        <v>1.0</v>
      </c>
      <c r="U31" s="20">
        <v>1.0</v>
      </c>
      <c r="V31" s="20">
        <v>1.0</v>
      </c>
      <c r="W31" s="20">
        <v>1.0</v>
      </c>
      <c r="X31" s="20">
        <v>1.0</v>
      </c>
      <c r="Y31" s="20">
        <v>1.0</v>
      </c>
      <c r="Z31" s="20">
        <v>1.0</v>
      </c>
      <c r="AA31" s="20">
        <v>1.0</v>
      </c>
      <c r="AB31" s="20">
        <v>1.0</v>
      </c>
    </row>
    <row r="32">
      <c r="A32" s="28" t="s">
        <v>84</v>
      </c>
      <c r="B32" s="29">
        <v>1.0</v>
      </c>
      <c r="C32" s="16" t="s">
        <v>20</v>
      </c>
      <c r="D32" s="16" t="s">
        <v>20</v>
      </c>
      <c r="E32" s="16" t="s">
        <v>20</v>
      </c>
      <c r="F32" s="16" t="s">
        <v>28</v>
      </c>
      <c r="G32" s="16" t="s">
        <v>28</v>
      </c>
      <c r="H32" s="16" t="s">
        <v>28</v>
      </c>
      <c r="I32" s="16" t="s">
        <v>20</v>
      </c>
      <c r="J32" s="16" t="s">
        <v>20</v>
      </c>
      <c r="K32" s="16" t="s">
        <v>28</v>
      </c>
      <c r="L32" s="16" t="s">
        <v>20</v>
      </c>
      <c r="M32" s="16" t="s">
        <v>28</v>
      </c>
      <c r="N32" s="13">
        <f t="shared" si="4"/>
        <v>6</v>
      </c>
      <c r="P32" s="34" t="s">
        <v>85</v>
      </c>
      <c r="Q32" s="20">
        <v>1.0</v>
      </c>
      <c r="R32" s="20">
        <v>1.0</v>
      </c>
      <c r="S32" s="20">
        <v>1.0</v>
      </c>
      <c r="T32" s="20">
        <v>1.0</v>
      </c>
      <c r="U32" s="20">
        <v>1.0</v>
      </c>
      <c r="V32" s="20">
        <v>1.0</v>
      </c>
      <c r="W32" s="20">
        <v>1.0</v>
      </c>
      <c r="X32" s="20">
        <v>1.0</v>
      </c>
      <c r="Y32" s="20">
        <v>1.0</v>
      </c>
      <c r="Z32" s="20">
        <v>1.0</v>
      </c>
      <c r="AA32" s="20">
        <v>1.0</v>
      </c>
      <c r="AB32" s="20">
        <v>1.0</v>
      </c>
    </row>
    <row r="33">
      <c r="A33" s="28" t="s">
        <v>86</v>
      </c>
      <c r="B33" s="29">
        <v>1.0</v>
      </c>
      <c r="C33" s="16" t="s">
        <v>20</v>
      </c>
      <c r="D33" s="16" t="s">
        <v>20</v>
      </c>
      <c r="E33" s="16" t="s">
        <v>20</v>
      </c>
      <c r="F33" s="16" t="s">
        <v>28</v>
      </c>
      <c r="G33" s="16" t="s">
        <v>20</v>
      </c>
      <c r="H33" s="16" t="s">
        <v>20</v>
      </c>
      <c r="I33" s="16" t="s">
        <v>20</v>
      </c>
      <c r="J33" s="16" t="s">
        <v>20</v>
      </c>
      <c r="K33" s="16" t="s">
        <v>20</v>
      </c>
      <c r="L33" s="16" t="s">
        <v>20</v>
      </c>
      <c r="M33" s="16" t="s">
        <v>28</v>
      </c>
      <c r="N33" s="13">
        <f t="shared" si="4"/>
        <v>9</v>
      </c>
      <c r="P33" s="34" t="s">
        <v>87</v>
      </c>
      <c r="Q33" s="20">
        <v>1.0</v>
      </c>
      <c r="R33" s="20">
        <v>1.0</v>
      </c>
      <c r="S33" s="20">
        <v>1.0</v>
      </c>
      <c r="T33" s="20">
        <v>1.0</v>
      </c>
      <c r="U33" s="20">
        <v>1.0</v>
      </c>
      <c r="V33" s="20">
        <v>1.0</v>
      </c>
      <c r="W33" s="20">
        <v>1.0</v>
      </c>
      <c r="X33" s="20">
        <v>1.0</v>
      </c>
      <c r="Y33" s="20">
        <v>1.0</v>
      </c>
      <c r="Z33" s="20">
        <v>1.0</v>
      </c>
      <c r="AA33" s="20">
        <v>1.0</v>
      </c>
      <c r="AB33" s="20">
        <v>1.0</v>
      </c>
    </row>
    <row r="34">
      <c r="A34" s="28" t="s">
        <v>88</v>
      </c>
      <c r="B34" s="29">
        <v>1.0</v>
      </c>
      <c r="C34" s="16" t="s">
        <v>20</v>
      </c>
      <c r="D34" s="16" t="s">
        <v>20</v>
      </c>
      <c r="E34" s="16" t="s">
        <v>20</v>
      </c>
      <c r="F34" s="16" t="s">
        <v>24</v>
      </c>
      <c r="G34" s="16" t="s">
        <v>20</v>
      </c>
      <c r="H34" s="16" t="s">
        <v>20</v>
      </c>
      <c r="I34" s="16" t="s">
        <v>20</v>
      </c>
      <c r="J34" s="16" t="s">
        <v>20</v>
      </c>
      <c r="K34" s="16" t="s">
        <v>20</v>
      </c>
      <c r="L34" s="16" t="s">
        <v>28</v>
      </c>
      <c r="M34" s="16" t="s">
        <v>20</v>
      </c>
      <c r="N34" s="13">
        <f t="shared" si="4"/>
        <v>9</v>
      </c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>
      <c r="A35" s="28" t="s">
        <v>89</v>
      </c>
      <c r="B35" s="29">
        <v>1.0</v>
      </c>
      <c r="C35" s="16" t="s">
        <v>20</v>
      </c>
      <c r="D35" s="16" t="s">
        <v>20</v>
      </c>
      <c r="E35" s="16" t="s">
        <v>20</v>
      </c>
      <c r="F35" s="16" t="s">
        <v>20</v>
      </c>
      <c r="G35" s="16" t="s">
        <v>20</v>
      </c>
      <c r="H35" s="16" t="s">
        <v>20</v>
      </c>
      <c r="I35" s="16" t="s">
        <v>20</v>
      </c>
      <c r="J35" s="16" t="s">
        <v>20</v>
      </c>
      <c r="K35" s="16" t="s">
        <v>28</v>
      </c>
      <c r="L35" s="16" t="s">
        <v>28</v>
      </c>
      <c r="M35" s="16" t="s">
        <v>28</v>
      </c>
      <c r="N35" s="13">
        <f t="shared" si="4"/>
        <v>8</v>
      </c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>
      <c r="A36" s="28" t="s">
        <v>90</v>
      </c>
      <c r="B36" s="29">
        <v>1.0</v>
      </c>
      <c r="C36" s="16" t="s">
        <v>20</v>
      </c>
      <c r="D36" s="16" t="s">
        <v>20</v>
      </c>
      <c r="E36" s="16" t="s">
        <v>20</v>
      </c>
      <c r="F36" s="16" t="s">
        <v>20</v>
      </c>
      <c r="G36" s="16" t="s">
        <v>20</v>
      </c>
      <c r="H36" s="16" t="s">
        <v>20</v>
      </c>
      <c r="I36" s="16" t="s">
        <v>20</v>
      </c>
      <c r="J36" s="16" t="s">
        <v>20</v>
      </c>
      <c r="K36" s="16" t="s">
        <v>20</v>
      </c>
      <c r="L36" s="16" t="s">
        <v>28</v>
      </c>
      <c r="M36" s="16" t="s">
        <v>20</v>
      </c>
      <c r="N36" s="13">
        <f t="shared" si="4"/>
        <v>10</v>
      </c>
      <c r="P36" s="4" t="s">
        <v>91</v>
      </c>
      <c r="Q36" s="5"/>
      <c r="R36" s="5"/>
      <c r="S36" s="6"/>
      <c r="W36" s="4" t="s">
        <v>92</v>
      </c>
      <c r="X36" s="5"/>
      <c r="Y36" s="6"/>
      <c r="AA36" s="35"/>
    </row>
    <row r="37">
      <c r="A37" s="28" t="s">
        <v>93</v>
      </c>
      <c r="B37" s="29">
        <v>1.0</v>
      </c>
      <c r="C37" s="16" t="s">
        <v>20</v>
      </c>
      <c r="D37" s="16" t="s">
        <v>28</v>
      </c>
      <c r="E37" s="16" t="s">
        <v>20</v>
      </c>
      <c r="F37" s="16" t="s">
        <v>20</v>
      </c>
      <c r="G37" s="16" t="s">
        <v>20</v>
      </c>
      <c r="H37" s="16" t="s">
        <v>20</v>
      </c>
      <c r="I37" s="16" t="s">
        <v>20</v>
      </c>
      <c r="J37" s="16" t="s">
        <v>20</v>
      </c>
      <c r="K37" s="16" t="s">
        <v>20</v>
      </c>
      <c r="L37" s="16" t="s">
        <v>20</v>
      </c>
      <c r="M37" s="16" t="s">
        <v>20</v>
      </c>
      <c r="N37" s="13">
        <f t="shared" si="4"/>
        <v>10</v>
      </c>
      <c r="P37" s="27" t="s">
        <v>94</v>
      </c>
      <c r="Q37" s="27" t="s">
        <v>95</v>
      </c>
      <c r="R37" s="27" t="s">
        <v>96</v>
      </c>
      <c r="S37" s="27" t="s">
        <v>97</v>
      </c>
      <c r="W37" s="27" t="s">
        <v>98</v>
      </c>
      <c r="X37" s="27" t="s">
        <v>96</v>
      </c>
      <c r="Y37" s="27" t="s">
        <v>99</v>
      </c>
      <c r="AA37" s="35"/>
    </row>
    <row r="38">
      <c r="A38" s="28" t="s">
        <v>100</v>
      </c>
      <c r="B38" s="29">
        <v>1.0</v>
      </c>
      <c r="C38" s="16" t="s">
        <v>20</v>
      </c>
      <c r="D38" s="16" t="s">
        <v>20</v>
      </c>
      <c r="E38" s="16" t="s">
        <v>20</v>
      </c>
      <c r="F38" s="16" t="s">
        <v>20</v>
      </c>
      <c r="G38" s="16" t="s">
        <v>20</v>
      </c>
      <c r="H38" s="16" t="s">
        <v>20</v>
      </c>
      <c r="I38" s="16" t="s">
        <v>20</v>
      </c>
      <c r="J38" s="16" t="s">
        <v>20</v>
      </c>
      <c r="K38" s="16" t="s">
        <v>20</v>
      </c>
      <c r="L38" s="16" t="s">
        <v>20</v>
      </c>
      <c r="M38" s="16" t="s">
        <v>20</v>
      </c>
      <c r="N38" s="13">
        <f t="shared" si="4"/>
        <v>11</v>
      </c>
      <c r="P38" s="19" t="s">
        <v>101</v>
      </c>
      <c r="Q38" s="20">
        <v>493491.0</v>
      </c>
      <c r="R38" s="36" t="s">
        <v>102</v>
      </c>
      <c r="S38" s="36" t="s">
        <v>103</v>
      </c>
      <c r="W38" s="19" t="s">
        <v>104</v>
      </c>
      <c r="X38" s="37" t="s">
        <v>105</v>
      </c>
      <c r="Y38" s="38">
        <v>46235.0</v>
      </c>
      <c r="AA38" s="35"/>
    </row>
    <row r="39">
      <c r="A39" s="28" t="s">
        <v>106</v>
      </c>
      <c r="B39" s="29">
        <v>1.0</v>
      </c>
      <c r="C39" s="16" t="s">
        <v>20</v>
      </c>
      <c r="D39" s="16" t="s">
        <v>20</v>
      </c>
      <c r="E39" s="16" t="s">
        <v>20</v>
      </c>
      <c r="F39" s="16" t="s">
        <v>20</v>
      </c>
      <c r="G39" s="16" t="s">
        <v>20</v>
      </c>
      <c r="H39" s="16" t="s">
        <v>20</v>
      </c>
      <c r="I39" s="16" t="s">
        <v>20</v>
      </c>
      <c r="J39" s="16" t="s">
        <v>20</v>
      </c>
      <c r="K39" s="16" t="s">
        <v>20</v>
      </c>
      <c r="L39" s="16" t="s">
        <v>20</v>
      </c>
      <c r="M39" s="16" t="s">
        <v>28</v>
      </c>
      <c r="N39" s="13">
        <f t="shared" si="4"/>
        <v>10</v>
      </c>
      <c r="P39" s="19" t="s">
        <v>101</v>
      </c>
      <c r="Q39" s="20">
        <v>802807.0</v>
      </c>
      <c r="R39" s="36" t="s">
        <v>107</v>
      </c>
      <c r="S39" s="36" t="s">
        <v>103</v>
      </c>
      <c r="W39" s="19" t="s">
        <v>108</v>
      </c>
      <c r="X39" s="37" t="s">
        <v>105</v>
      </c>
      <c r="Y39" s="38">
        <v>46236.0</v>
      </c>
      <c r="AA39" s="35"/>
    </row>
    <row r="40">
      <c r="A40" s="28" t="s">
        <v>109</v>
      </c>
      <c r="B40" s="29">
        <v>1.0</v>
      </c>
      <c r="C40" s="16" t="s">
        <v>20</v>
      </c>
      <c r="D40" s="16" t="s">
        <v>20</v>
      </c>
      <c r="E40" s="16" t="s">
        <v>20</v>
      </c>
      <c r="F40" s="16" t="s">
        <v>24</v>
      </c>
      <c r="G40" s="16" t="s">
        <v>20</v>
      </c>
      <c r="H40" s="16" t="s">
        <v>20</v>
      </c>
      <c r="I40" s="16" t="s">
        <v>20</v>
      </c>
      <c r="J40" s="16" t="s">
        <v>20</v>
      </c>
      <c r="K40" s="16" t="s">
        <v>20</v>
      </c>
      <c r="L40" s="16" t="s">
        <v>20</v>
      </c>
      <c r="M40" s="16" t="s">
        <v>20</v>
      </c>
      <c r="N40" s="13">
        <f t="shared" si="4"/>
        <v>10</v>
      </c>
      <c r="P40" s="19" t="s">
        <v>101</v>
      </c>
      <c r="Q40" s="20">
        <v>808007.0</v>
      </c>
      <c r="R40" s="36" t="s">
        <v>110</v>
      </c>
      <c r="S40" s="36" t="s">
        <v>103</v>
      </c>
      <c r="AA40" s="35"/>
    </row>
    <row r="41">
      <c r="A41" s="28" t="s">
        <v>111</v>
      </c>
      <c r="B41" s="29">
        <v>1.0</v>
      </c>
      <c r="C41" s="16" t="s">
        <v>20</v>
      </c>
      <c r="D41" s="16" t="s">
        <v>20</v>
      </c>
      <c r="E41" s="16" t="s">
        <v>20</v>
      </c>
      <c r="F41" s="16" t="s">
        <v>20</v>
      </c>
      <c r="G41" s="16" t="s">
        <v>20</v>
      </c>
      <c r="H41" s="16" t="s">
        <v>20</v>
      </c>
      <c r="I41" s="16" t="s">
        <v>20</v>
      </c>
      <c r="J41" s="16" t="s">
        <v>20</v>
      </c>
      <c r="K41" s="16" t="s">
        <v>20</v>
      </c>
      <c r="L41" s="16" t="s">
        <v>20</v>
      </c>
      <c r="M41" s="16" t="s">
        <v>20</v>
      </c>
      <c r="N41" s="13">
        <f t="shared" si="4"/>
        <v>11</v>
      </c>
      <c r="P41" s="19" t="s">
        <v>101</v>
      </c>
      <c r="Q41" s="20">
        <v>801775.0</v>
      </c>
      <c r="R41" s="36" t="s">
        <v>112</v>
      </c>
      <c r="S41" s="36" t="s">
        <v>103</v>
      </c>
      <c r="AA41" s="35"/>
    </row>
    <row r="42">
      <c r="A42" s="28" t="s">
        <v>113</v>
      </c>
      <c r="B42" s="29">
        <v>1.0</v>
      </c>
      <c r="C42" s="16" t="s">
        <v>20</v>
      </c>
      <c r="D42" s="16" t="s">
        <v>20</v>
      </c>
      <c r="E42" s="16" t="s">
        <v>20</v>
      </c>
      <c r="F42" s="16" t="s">
        <v>20</v>
      </c>
      <c r="G42" s="16" t="s">
        <v>20</v>
      </c>
      <c r="H42" s="16" t="s">
        <v>24</v>
      </c>
      <c r="I42" s="16" t="s">
        <v>20</v>
      </c>
      <c r="J42" s="16" t="s">
        <v>20</v>
      </c>
      <c r="K42" s="16" t="s">
        <v>20</v>
      </c>
      <c r="L42" s="16" t="s">
        <v>24</v>
      </c>
      <c r="M42" s="16" t="s">
        <v>20</v>
      </c>
      <c r="N42" s="13">
        <f t="shared" si="4"/>
        <v>9</v>
      </c>
      <c r="P42" s="19" t="s">
        <v>101</v>
      </c>
      <c r="Q42" s="20">
        <v>802541.0</v>
      </c>
      <c r="R42" s="36" t="s">
        <v>114</v>
      </c>
      <c r="S42" s="36" t="s">
        <v>103</v>
      </c>
    </row>
    <row r="43">
      <c r="A43" s="28" t="s">
        <v>115</v>
      </c>
      <c r="B43" s="29">
        <v>1.0</v>
      </c>
      <c r="C43" s="16" t="s">
        <v>20</v>
      </c>
      <c r="D43" s="16" t="s">
        <v>20</v>
      </c>
      <c r="E43" s="16" t="s">
        <v>20</v>
      </c>
      <c r="F43" s="16" t="s">
        <v>20</v>
      </c>
      <c r="G43" s="16" t="s">
        <v>28</v>
      </c>
      <c r="H43" s="16" t="s">
        <v>28</v>
      </c>
      <c r="I43" s="16" t="s">
        <v>20</v>
      </c>
      <c r="J43" s="16" t="s">
        <v>28</v>
      </c>
      <c r="K43" s="16" t="s">
        <v>20</v>
      </c>
      <c r="L43" s="16" t="s">
        <v>28</v>
      </c>
      <c r="M43" s="16" t="s">
        <v>24</v>
      </c>
      <c r="N43" s="13">
        <f t="shared" si="4"/>
        <v>6</v>
      </c>
      <c r="P43" s="19" t="s">
        <v>101</v>
      </c>
      <c r="Q43" s="20">
        <v>489643.0</v>
      </c>
      <c r="R43" s="36" t="s">
        <v>116</v>
      </c>
      <c r="S43" s="36" t="s">
        <v>103</v>
      </c>
    </row>
    <row r="44">
      <c r="A44" s="28" t="s">
        <v>117</v>
      </c>
      <c r="B44" s="29">
        <v>1.0</v>
      </c>
      <c r="C44" s="16" t="s">
        <v>20</v>
      </c>
      <c r="D44" s="16" t="s">
        <v>20</v>
      </c>
      <c r="E44" s="16" t="s">
        <v>20</v>
      </c>
      <c r="F44" s="16" t="s">
        <v>20</v>
      </c>
      <c r="G44" s="16" t="s">
        <v>24</v>
      </c>
      <c r="H44" s="16" t="s">
        <v>20</v>
      </c>
      <c r="I44" s="16" t="s">
        <v>20</v>
      </c>
      <c r="J44" s="16" t="s">
        <v>20</v>
      </c>
      <c r="K44" s="16" t="s">
        <v>20</v>
      </c>
      <c r="L44" s="16" t="s">
        <v>20</v>
      </c>
      <c r="M44" s="16" t="s">
        <v>20</v>
      </c>
      <c r="N44" s="13">
        <f t="shared" si="4"/>
        <v>10</v>
      </c>
      <c r="P44" s="19" t="s">
        <v>118</v>
      </c>
      <c r="Q44" s="11"/>
      <c r="R44" s="36" t="s">
        <v>119</v>
      </c>
      <c r="S44" s="36" t="s">
        <v>103</v>
      </c>
    </row>
    <row r="45">
      <c r="A45" s="28" t="s">
        <v>120</v>
      </c>
      <c r="B45" s="29">
        <v>1.0</v>
      </c>
      <c r="C45" s="16" t="s">
        <v>20</v>
      </c>
      <c r="D45" s="16" t="s">
        <v>28</v>
      </c>
      <c r="E45" s="16" t="s">
        <v>20</v>
      </c>
      <c r="F45" s="16" t="s">
        <v>20</v>
      </c>
      <c r="G45" s="16" t="s">
        <v>20</v>
      </c>
      <c r="H45" s="16" t="s">
        <v>20</v>
      </c>
      <c r="I45" s="16" t="s">
        <v>20</v>
      </c>
      <c r="J45" s="16" t="s">
        <v>20</v>
      </c>
      <c r="K45" s="16" t="s">
        <v>20</v>
      </c>
      <c r="L45" s="16" t="s">
        <v>20</v>
      </c>
      <c r="M45" s="16" t="s">
        <v>20</v>
      </c>
      <c r="N45" s="13">
        <f t="shared" si="4"/>
        <v>10</v>
      </c>
      <c r="P45" s="19" t="s">
        <v>118</v>
      </c>
      <c r="Q45" s="11"/>
      <c r="R45" s="36" t="s">
        <v>121</v>
      </c>
      <c r="S45" s="36" t="s">
        <v>103</v>
      </c>
    </row>
    <row r="46">
      <c r="A46" s="28" t="s">
        <v>122</v>
      </c>
      <c r="B46" s="29">
        <v>1.0</v>
      </c>
      <c r="C46" s="16" t="s">
        <v>20</v>
      </c>
      <c r="D46" s="16" t="s">
        <v>20</v>
      </c>
      <c r="E46" s="16" t="s">
        <v>20</v>
      </c>
      <c r="F46" s="16" t="s">
        <v>20</v>
      </c>
      <c r="G46" s="16" t="s">
        <v>20</v>
      </c>
      <c r="H46" s="16" t="s">
        <v>20</v>
      </c>
      <c r="I46" s="16" t="s">
        <v>20</v>
      </c>
      <c r="J46" s="16" t="s">
        <v>20</v>
      </c>
      <c r="K46" s="16" t="s">
        <v>20</v>
      </c>
      <c r="L46" s="16" t="s">
        <v>28</v>
      </c>
      <c r="M46" s="16" t="s">
        <v>20</v>
      </c>
      <c r="N46" s="13">
        <f t="shared" si="4"/>
        <v>10</v>
      </c>
      <c r="P46" s="19" t="s">
        <v>118</v>
      </c>
      <c r="Q46" s="11"/>
      <c r="R46" s="36" t="s">
        <v>123</v>
      </c>
      <c r="S46" s="36" t="s">
        <v>103</v>
      </c>
    </row>
    <row r="47">
      <c r="A47" s="28" t="s">
        <v>124</v>
      </c>
      <c r="B47" s="29">
        <v>1.0</v>
      </c>
      <c r="C47" s="16" t="s">
        <v>20</v>
      </c>
      <c r="D47" s="16" t="s">
        <v>20</v>
      </c>
      <c r="E47" s="16" t="s">
        <v>20</v>
      </c>
      <c r="F47" s="16" t="s">
        <v>20</v>
      </c>
      <c r="G47" s="16" t="s">
        <v>20</v>
      </c>
      <c r="H47" s="16" t="s">
        <v>20</v>
      </c>
      <c r="I47" s="16" t="s">
        <v>20</v>
      </c>
      <c r="J47" s="16" t="s">
        <v>20</v>
      </c>
      <c r="K47" s="16" t="s">
        <v>20</v>
      </c>
      <c r="L47" s="16" t="s">
        <v>20</v>
      </c>
      <c r="M47" s="16" t="s">
        <v>20</v>
      </c>
      <c r="N47" s="13">
        <f t="shared" si="4"/>
        <v>11</v>
      </c>
      <c r="P47" s="19" t="s">
        <v>118</v>
      </c>
      <c r="Q47" s="11"/>
      <c r="R47" s="11"/>
      <c r="S47" s="36" t="s">
        <v>125</v>
      </c>
    </row>
    <row r="48">
      <c r="A48" s="28" t="s">
        <v>126</v>
      </c>
      <c r="B48" s="29">
        <v>1.0</v>
      </c>
      <c r="C48" s="16" t="s">
        <v>20</v>
      </c>
      <c r="D48" s="16" t="s">
        <v>20</v>
      </c>
      <c r="E48" s="16" t="s">
        <v>20</v>
      </c>
      <c r="F48" s="16" t="s">
        <v>20</v>
      </c>
      <c r="G48" s="16" t="s">
        <v>20</v>
      </c>
      <c r="H48" s="16" t="s">
        <v>20</v>
      </c>
      <c r="I48" s="16" t="s">
        <v>20</v>
      </c>
      <c r="J48" s="16" t="s">
        <v>20</v>
      </c>
      <c r="K48" s="16" t="s">
        <v>20</v>
      </c>
      <c r="L48" s="16" t="s">
        <v>20</v>
      </c>
      <c r="M48" s="16" t="s">
        <v>20</v>
      </c>
      <c r="N48" s="13">
        <f t="shared" si="4"/>
        <v>11</v>
      </c>
    </row>
    <row r="49">
      <c r="A49" s="28" t="s">
        <v>127</v>
      </c>
      <c r="B49" s="29">
        <v>1.0</v>
      </c>
      <c r="C49" s="16" t="s">
        <v>20</v>
      </c>
      <c r="D49" s="16" t="s">
        <v>20</v>
      </c>
      <c r="E49" s="16" t="s">
        <v>20</v>
      </c>
      <c r="F49" s="16" t="s">
        <v>20</v>
      </c>
      <c r="G49" s="16" t="s">
        <v>20</v>
      </c>
      <c r="H49" s="16" t="s">
        <v>20</v>
      </c>
      <c r="I49" s="16" t="s">
        <v>20</v>
      </c>
      <c r="J49" s="16" t="s">
        <v>20</v>
      </c>
      <c r="K49" s="16" t="s">
        <v>20</v>
      </c>
      <c r="L49" s="16" t="s">
        <v>20</v>
      </c>
      <c r="M49" s="16" t="s">
        <v>20</v>
      </c>
      <c r="N49" s="13">
        <f t="shared" si="4"/>
        <v>11</v>
      </c>
    </row>
    <row r="50">
      <c r="A50" s="28" t="s">
        <v>128</v>
      </c>
      <c r="B50" s="29">
        <v>1.0</v>
      </c>
      <c r="C50" s="16" t="s">
        <v>20</v>
      </c>
      <c r="D50" s="16" t="s">
        <v>20</v>
      </c>
      <c r="E50" s="16" t="s">
        <v>20</v>
      </c>
      <c r="F50" s="16" t="s">
        <v>20</v>
      </c>
      <c r="G50" s="16" t="s">
        <v>20</v>
      </c>
      <c r="H50" s="16" t="s">
        <v>20</v>
      </c>
      <c r="I50" s="16" t="s">
        <v>20</v>
      </c>
      <c r="J50" s="16" t="s">
        <v>20</v>
      </c>
      <c r="K50" s="16" t="s">
        <v>28</v>
      </c>
      <c r="L50" s="16" t="s">
        <v>20</v>
      </c>
      <c r="M50" s="16" t="s">
        <v>20</v>
      </c>
      <c r="N50" s="13">
        <f t="shared" si="4"/>
        <v>10</v>
      </c>
    </row>
    <row r="51">
      <c r="A51" s="28" t="s">
        <v>129</v>
      </c>
      <c r="B51" s="29">
        <v>1.0</v>
      </c>
      <c r="C51" s="16" t="s">
        <v>20</v>
      </c>
      <c r="D51" s="16" t="s">
        <v>20</v>
      </c>
      <c r="E51" s="16" t="s">
        <v>20</v>
      </c>
      <c r="F51" s="16" t="s">
        <v>20</v>
      </c>
      <c r="G51" s="16" t="s">
        <v>28</v>
      </c>
      <c r="H51" s="16" t="s">
        <v>20</v>
      </c>
      <c r="I51" s="16" t="s">
        <v>20</v>
      </c>
      <c r="J51" s="16" t="s">
        <v>20</v>
      </c>
      <c r="K51" s="16" t="s">
        <v>28</v>
      </c>
      <c r="L51" s="16" t="s">
        <v>28</v>
      </c>
      <c r="M51" s="16" t="s">
        <v>20</v>
      </c>
      <c r="N51" s="13">
        <f t="shared" si="4"/>
        <v>8</v>
      </c>
    </row>
    <row r="52">
      <c r="A52" s="28" t="s">
        <v>130</v>
      </c>
      <c r="B52" s="29">
        <v>1.0</v>
      </c>
      <c r="C52" s="16" t="s">
        <v>20</v>
      </c>
      <c r="D52" s="16" t="s">
        <v>20</v>
      </c>
      <c r="E52" s="16" t="s">
        <v>20</v>
      </c>
      <c r="F52" s="16" t="s">
        <v>20</v>
      </c>
      <c r="G52" s="16" t="s">
        <v>20</v>
      </c>
      <c r="H52" s="16" t="s">
        <v>20</v>
      </c>
      <c r="I52" s="16" t="s">
        <v>20</v>
      </c>
      <c r="J52" s="16" t="s">
        <v>20</v>
      </c>
      <c r="K52" s="16" t="s">
        <v>28</v>
      </c>
      <c r="L52" s="16" t="s">
        <v>28</v>
      </c>
      <c r="M52" s="16" t="s">
        <v>20</v>
      </c>
      <c r="N52" s="13">
        <f t="shared" si="4"/>
        <v>9</v>
      </c>
    </row>
    <row r="53">
      <c r="A53" s="28" t="s">
        <v>131</v>
      </c>
      <c r="B53" s="29">
        <v>1.0</v>
      </c>
      <c r="C53" s="16" t="s">
        <v>20</v>
      </c>
      <c r="D53" s="16" t="s">
        <v>24</v>
      </c>
      <c r="E53" s="16" t="s">
        <v>20</v>
      </c>
      <c r="F53" s="16" t="s">
        <v>20</v>
      </c>
      <c r="G53" s="16" t="s">
        <v>20</v>
      </c>
      <c r="H53" s="16" t="s">
        <v>20</v>
      </c>
      <c r="I53" s="16" t="s">
        <v>20</v>
      </c>
      <c r="J53" s="16" t="s">
        <v>20</v>
      </c>
      <c r="K53" s="16" t="s">
        <v>20</v>
      </c>
      <c r="L53" s="16" t="s">
        <v>20</v>
      </c>
      <c r="M53" s="16" t="s">
        <v>20</v>
      </c>
      <c r="N53" s="13">
        <f t="shared" si="4"/>
        <v>10</v>
      </c>
    </row>
    <row r="54">
      <c r="A54" s="28" t="s">
        <v>132</v>
      </c>
      <c r="B54" s="29">
        <v>1.0</v>
      </c>
      <c r="C54" s="16" t="s">
        <v>20</v>
      </c>
      <c r="D54" s="16" t="s">
        <v>20</v>
      </c>
      <c r="E54" s="16" t="s">
        <v>20</v>
      </c>
      <c r="F54" s="16" t="s">
        <v>20</v>
      </c>
      <c r="G54" s="16" t="s">
        <v>20</v>
      </c>
      <c r="H54" s="16" t="s">
        <v>20</v>
      </c>
      <c r="I54" s="16" t="s">
        <v>20</v>
      </c>
      <c r="J54" s="16" t="s">
        <v>20</v>
      </c>
      <c r="K54" s="16" t="s">
        <v>20</v>
      </c>
      <c r="L54" s="16" t="s">
        <v>20</v>
      </c>
      <c r="M54" s="16" t="s">
        <v>20</v>
      </c>
      <c r="N54" s="13">
        <f t="shared" si="4"/>
        <v>11</v>
      </c>
    </row>
    <row r="55">
      <c r="A55" s="28" t="s">
        <v>133</v>
      </c>
      <c r="B55" s="29">
        <v>1.0</v>
      </c>
      <c r="C55" s="16" t="s">
        <v>20</v>
      </c>
      <c r="D55" s="16" t="s">
        <v>24</v>
      </c>
      <c r="E55" s="16" t="s">
        <v>20</v>
      </c>
      <c r="F55" s="16" t="s">
        <v>20</v>
      </c>
      <c r="G55" s="16" t="s">
        <v>20</v>
      </c>
      <c r="H55" s="16" t="s">
        <v>28</v>
      </c>
      <c r="I55" s="16" t="s">
        <v>20</v>
      </c>
      <c r="J55" s="16" t="s">
        <v>20</v>
      </c>
      <c r="K55" s="16" t="s">
        <v>28</v>
      </c>
      <c r="L55" s="16" t="s">
        <v>24</v>
      </c>
      <c r="M55" s="16" t="s">
        <v>20</v>
      </c>
      <c r="N55" s="13">
        <f t="shared" si="4"/>
        <v>7</v>
      </c>
    </row>
    <row r="56">
      <c r="A56" s="28" t="s">
        <v>134</v>
      </c>
      <c r="B56" s="29">
        <v>1.0</v>
      </c>
      <c r="C56" s="16" t="s">
        <v>20</v>
      </c>
      <c r="D56" s="16" t="s">
        <v>20</v>
      </c>
      <c r="E56" s="16" t="s">
        <v>20</v>
      </c>
      <c r="F56" s="16" t="s">
        <v>20</v>
      </c>
      <c r="G56" s="16" t="s">
        <v>20</v>
      </c>
      <c r="H56" s="16" t="s">
        <v>20</v>
      </c>
      <c r="I56" s="16" t="s">
        <v>20</v>
      </c>
      <c r="J56" s="16" t="s">
        <v>20</v>
      </c>
      <c r="K56" s="16" t="s">
        <v>20</v>
      </c>
      <c r="L56" s="16" t="s">
        <v>20</v>
      </c>
      <c r="M56" s="16" t="s">
        <v>20</v>
      </c>
      <c r="N56" s="13">
        <f t="shared" si="4"/>
        <v>11</v>
      </c>
    </row>
    <row r="57">
      <c r="A57" s="28" t="s">
        <v>135</v>
      </c>
      <c r="B57" s="29">
        <v>1.0</v>
      </c>
      <c r="C57" s="16" t="s">
        <v>20</v>
      </c>
      <c r="D57" s="16" t="s">
        <v>20</v>
      </c>
      <c r="E57" s="16" t="s">
        <v>20</v>
      </c>
      <c r="F57" s="16" t="s">
        <v>20</v>
      </c>
      <c r="G57" s="16" t="s">
        <v>20</v>
      </c>
      <c r="H57" s="16" t="s">
        <v>20</v>
      </c>
      <c r="I57" s="16" t="s">
        <v>20</v>
      </c>
      <c r="J57" s="16" t="s">
        <v>20</v>
      </c>
      <c r="K57" s="16" t="s">
        <v>20</v>
      </c>
      <c r="L57" s="16" t="s">
        <v>20</v>
      </c>
      <c r="M57" s="16" t="s">
        <v>20</v>
      </c>
      <c r="N57" s="13">
        <f t="shared" si="4"/>
        <v>11</v>
      </c>
    </row>
    <row r="58">
      <c r="A58" s="28" t="s">
        <v>136</v>
      </c>
      <c r="B58" s="29">
        <v>1.0</v>
      </c>
      <c r="C58" s="16" t="s">
        <v>20</v>
      </c>
      <c r="D58" s="16" t="s">
        <v>20</v>
      </c>
      <c r="E58" s="16" t="s">
        <v>20</v>
      </c>
      <c r="F58" s="16" t="s">
        <v>20</v>
      </c>
      <c r="G58" s="16" t="s">
        <v>28</v>
      </c>
      <c r="H58" s="16" t="s">
        <v>20</v>
      </c>
      <c r="I58" s="16" t="s">
        <v>20</v>
      </c>
      <c r="J58" s="16" t="s">
        <v>20</v>
      </c>
      <c r="K58" s="16" t="s">
        <v>20</v>
      </c>
      <c r="L58" s="16" t="s">
        <v>20</v>
      </c>
      <c r="M58" s="16" t="s">
        <v>20</v>
      </c>
      <c r="N58" s="13">
        <f t="shared" si="4"/>
        <v>10</v>
      </c>
    </row>
    <row r="59">
      <c r="A59" s="28" t="s">
        <v>137</v>
      </c>
      <c r="B59" s="29">
        <v>1.0</v>
      </c>
      <c r="C59" s="16" t="s">
        <v>20</v>
      </c>
      <c r="D59" s="16" t="s">
        <v>20</v>
      </c>
      <c r="E59" s="16" t="s">
        <v>20</v>
      </c>
      <c r="F59" s="16" t="s">
        <v>28</v>
      </c>
      <c r="G59" s="16" t="s">
        <v>20</v>
      </c>
      <c r="H59" s="16" t="s">
        <v>20</v>
      </c>
      <c r="I59" s="16" t="s">
        <v>28</v>
      </c>
      <c r="J59" s="16" t="s">
        <v>20</v>
      </c>
      <c r="K59" s="16" t="s">
        <v>20</v>
      </c>
      <c r="L59" s="16" t="s">
        <v>20</v>
      </c>
      <c r="M59" s="16" t="s">
        <v>20</v>
      </c>
      <c r="N59" s="13">
        <f t="shared" si="4"/>
        <v>9</v>
      </c>
    </row>
    <row r="60">
      <c r="A60" s="39" t="s">
        <v>138</v>
      </c>
      <c r="B60" s="29">
        <v>1.0</v>
      </c>
      <c r="C60" s="16" t="s">
        <v>20</v>
      </c>
      <c r="D60" s="16" t="s">
        <v>20</v>
      </c>
      <c r="E60" s="16" t="s">
        <v>20</v>
      </c>
      <c r="F60" s="16" t="s">
        <v>20</v>
      </c>
      <c r="G60" s="16" t="s">
        <v>20</v>
      </c>
      <c r="H60" s="16" t="s">
        <v>20</v>
      </c>
      <c r="I60" s="16" t="s">
        <v>20</v>
      </c>
      <c r="J60" s="16" t="s">
        <v>20</v>
      </c>
      <c r="K60" s="16" t="s">
        <v>20</v>
      </c>
      <c r="L60" s="16" t="s">
        <v>20</v>
      </c>
      <c r="M60" s="16" t="s">
        <v>20</v>
      </c>
      <c r="N60" s="13">
        <f t="shared" si="4"/>
        <v>11</v>
      </c>
    </row>
    <row r="61">
      <c r="A61" s="28" t="s">
        <v>139</v>
      </c>
      <c r="B61" s="29">
        <v>1.0</v>
      </c>
      <c r="C61" s="16" t="s">
        <v>20</v>
      </c>
      <c r="D61" s="16" t="s">
        <v>20</v>
      </c>
      <c r="E61" s="16" t="s">
        <v>20</v>
      </c>
      <c r="F61" s="16" t="s">
        <v>20</v>
      </c>
      <c r="G61" s="16" t="s">
        <v>20</v>
      </c>
      <c r="H61" s="16" t="s">
        <v>20</v>
      </c>
      <c r="I61" s="16" t="s">
        <v>20</v>
      </c>
      <c r="J61" s="16" t="s">
        <v>20</v>
      </c>
      <c r="K61" s="16" t="s">
        <v>20</v>
      </c>
      <c r="L61" s="16" t="s">
        <v>20</v>
      </c>
      <c r="M61" s="16" t="s">
        <v>20</v>
      </c>
      <c r="N61" s="13">
        <f t="shared" si="4"/>
        <v>11</v>
      </c>
    </row>
    <row r="62">
      <c r="A62" s="28" t="s">
        <v>140</v>
      </c>
      <c r="B62" s="29">
        <v>1.0</v>
      </c>
      <c r="C62" s="16" t="s">
        <v>20</v>
      </c>
      <c r="D62" s="16" t="s">
        <v>20</v>
      </c>
      <c r="E62" s="16" t="s">
        <v>20</v>
      </c>
      <c r="F62" s="16" t="s">
        <v>20</v>
      </c>
      <c r="G62" s="16" t="s">
        <v>20</v>
      </c>
      <c r="H62" s="16" t="s">
        <v>20</v>
      </c>
      <c r="I62" s="16" t="s">
        <v>20</v>
      </c>
      <c r="J62" s="16" t="s">
        <v>20</v>
      </c>
      <c r="K62" s="16" t="s">
        <v>20</v>
      </c>
      <c r="L62" s="16" t="s">
        <v>20</v>
      </c>
      <c r="M62" s="16" t="s">
        <v>20</v>
      </c>
      <c r="N62" s="13">
        <f t="shared" si="4"/>
        <v>11</v>
      </c>
    </row>
    <row r="63">
      <c r="A63" s="28" t="s">
        <v>141</v>
      </c>
      <c r="B63" s="29">
        <v>1.0</v>
      </c>
      <c r="C63" s="16" t="s">
        <v>20</v>
      </c>
      <c r="D63" s="16" t="s">
        <v>20</v>
      </c>
      <c r="E63" s="16" t="s">
        <v>20</v>
      </c>
      <c r="F63" s="16" t="s">
        <v>28</v>
      </c>
      <c r="G63" s="16" t="s">
        <v>20</v>
      </c>
      <c r="H63" s="16" t="s">
        <v>20</v>
      </c>
      <c r="I63" s="16" t="s">
        <v>20</v>
      </c>
      <c r="J63" s="16" t="s">
        <v>20</v>
      </c>
      <c r="K63" s="16" t="s">
        <v>20</v>
      </c>
      <c r="L63" s="16" t="s">
        <v>20</v>
      </c>
      <c r="M63" s="16" t="s">
        <v>20</v>
      </c>
      <c r="N63" s="13">
        <f t="shared" si="4"/>
        <v>10</v>
      </c>
    </row>
    <row r="64">
      <c r="A64" s="28" t="s">
        <v>142</v>
      </c>
      <c r="B64" s="29">
        <v>1.0</v>
      </c>
      <c r="C64" s="16" t="s">
        <v>20</v>
      </c>
      <c r="D64" s="16" t="s">
        <v>20</v>
      </c>
      <c r="E64" s="16" t="s">
        <v>20</v>
      </c>
      <c r="F64" s="16" t="s">
        <v>28</v>
      </c>
      <c r="G64" s="16" t="s">
        <v>20</v>
      </c>
      <c r="H64" s="16" t="s">
        <v>20</v>
      </c>
      <c r="I64" s="16" t="s">
        <v>20</v>
      </c>
      <c r="J64" s="16" t="s">
        <v>20</v>
      </c>
      <c r="K64" s="16" t="s">
        <v>28</v>
      </c>
      <c r="L64" s="16" t="s">
        <v>20</v>
      </c>
      <c r="M64" s="16" t="s">
        <v>20</v>
      </c>
      <c r="N64" s="13">
        <f t="shared" si="4"/>
        <v>9</v>
      </c>
    </row>
    <row r="65">
      <c r="A65" s="28" t="s">
        <v>143</v>
      </c>
      <c r="B65" s="29">
        <v>1.0</v>
      </c>
      <c r="C65" s="16" t="s">
        <v>20</v>
      </c>
      <c r="D65" s="16" t="s">
        <v>20</v>
      </c>
      <c r="E65" s="16" t="s">
        <v>20</v>
      </c>
      <c r="F65" s="16" t="s">
        <v>20</v>
      </c>
      <c r="G65" s="16" t="s">
        <v>20</v>
      </c>
      <c r="H65" s="16" t="s">
        <v>20</v>
      </c>
      <c r="I65" s="16" t="s">
        <v>20</v>
      </c>
      <c r="J65" s="16" t="s">
        <v>20</v>
      </c>
      <c r="K65" s="16" t="s">
        <v>20</v>
      </c>
      <c r="L65" s="16" t="s">
        <v>20</v>
      </c>
      <c r="M65" s="16" t="s">
        <v>20</v>
      </c>
      <c r="N65" s="13">
        <f t="shared" si="4"/>
        <v>11</v>
      </c>
    </row>
    <row r="66">
      <c r="A66" s="28" t="s">
        <v>144</v>
      </c>
      <c r="B66" s="29">
        <v>1.0</v>
      </c>
      <c r="C66" s="16" t="s">
        <v>20</v>
      </c>
      <c r="D66" s="16" t="s">
        <v>20</v>
      </c>
      <c r="E66" s="16" t="s">
        <v>20</v>
      </c>
      <c r="F66" s="16" t="s">
        <v>20</v>
      </c>
      <c r="G66" s="16" t="s">
        <v>20</v>
      </c>
      <c r="H66" s="16" t="s">
        <v>20</v>
      </c>
      <c r="I66" s="16" t="s">
        <v>20</v>
      </c>
      <c r="J66" s="16" t="s">
        <v>20</v>
      </c>
      <c r="K66" s="16" t="s">
        <v>20</v>
      </c>
      <c r="L66" s="16" t="s">
        <v>20</v>
      </c>
      <c r="M66" s="16" t="s">
        <v>20</v>
      </c>
      <c r="N66" s="13">
        <f t="shared" si="4"/>
        <v>11</v>
      </c>
    </row>
    <row r="67">
      <c r="A67" s="28" t="s">
        <v>145</v>
      </c>
      <c r="B67" s="29">
        <v>1.0</v>
      </c>
      <c r="C67" s="16" t="s">
        <v>20</v>
      </c>
      <c r="D67" s="16" t="s">
        <v>20</v>
      </c>
      <c r="E67" s="16" t="s">
        <v>20</v>
      </c>
      <c r="F67" s="16" t="s">
        <v>20</v>
      </c>
      <c r="G67" s="16" t="s">
        <v>20</v>
      </c>
      <c r="H67" s="16" t="s">
        <v>20</v>
      </c>
      <c r="I67" s="16" t="s">
        <v>20</v>
      </c>
      <c r="J67" s="16" t="s">
        <v>20</v>
      </c>
      <c r="K67" s="16" t="s">
        <v>20</v>
      </c>
      <c r="L67" s="16" t="s">
        <v>20</v>
      </c>
      <c r="M67" s="16" t="s">
        <v>20</v>
      </c>
      <c r="N67" s="13">
        <f t="shared" si="4"/>
        <v>11</v>
      </c>
    </row>
    <row r="68">
      <c r="A68" s="28" t="s">
        <v>146</v>
      </c>
      <c r="B68" s="29">
        <v>1.0</v>
      </c>
      <c r="C68" s="16" t="s">
        <v>20</v>
      </c>
      <c r="D68" s="16" t="s">
        <v>20</v>
      </c>
      <c r="E68" s="16" t="s">
        <v>20</v>
      </c>
      <c r="F68" s="16" t="s">
        <v>20</v>
      </c>
      <c r="G68" s="16" t="s">
        <v>20</v>
      </c>
      <c r="H68" s="16" t="s">
        <v>20</v>
      </c>
      <c r="I68" s="16" t="s">
        <v>20</v>
      </c>
      <c r="J68" s="16" t="s">
        <v>20</v>
      </c>
      <c r="K68" s="16" t="s">
        <v>20</v>
      </c>
      <c r="L68" s="16" t="s">
        <v>20</v>
      </c>
      <c r="M68" s="16" t="s">
        <v>20</v>
      </c>
      <c r="N68" s="13">
        <f t="shared" si="4"/>
        <v>11</v>
      </c>
    </row>
    <row r="71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>
      <c r="B72" s="40" t="s">
        <v>6</v>
      </c>
      <c r="D72" s="41"/>
      <c r="E72" s="40" t="s">
        <v>7</v>
      </c>
      <c r="G72" s="41"/>
      <c r="H72" s="40" t="s">
        <v>8</v>
      </c>
      <c r="K72" s="42" t="s">
        <v>9</v>
      </c>
      <c r="M72" s="41"/>
      <c r="N72" s="40" t="s">
        <v>10</v>
      </c>
      <c r="Q72" s="42" t="s">
        <v>11</v>
      </c>
      <c r="T72" s="42" t="s">
        <v>12</v>
      </c>
      <c r="V72" s="41"/>
      <c r="W72" s="40" t="s">
        <v>13</v>
      </c>
      <c r="Z72" s="42" t="s">
        <v>14</v>
      </c>
      <c r="AB72" s="41"/>
      <c r="AC72" s="40" t="s">
        <v>15</v>
      </c>
      <c r="AF72" s="42" t="s">
        <v>16</v>
      </c>
    </row>
    <row r="73">
      <c r="A73" s="27" t="s">
        <v>94</v>
      </c>
      <c r="B73" s="27" t="s">
        <v>95</v>
      </c>
      <c r="C73" s="27" t="s">
        <v>96</v>
      </c>
      <c r="D73" s="43" t="s">
        <v>97</v>
      </c>
      <c r="E73" s="44" t="s">
        <v>95</v>
      </c>
      <c r="F73" s="27" t="s">
        <v>96</v>
      </c>
      <c r="G73" s="43" t="s">
        <v>97</v>
      </c>
      <c r="H73" s="44" t="s">
        <v>95</v>
      </c>
      <c r="I73" s="27" t="s">
        <v>96</v>
      </c>
      <c r="J73" s="45" t="s">
        <v>97</v>
      </c>
      <c r="K73" s="46" t="s">
        <v>95</v>
      </c>
      <c r="L73" s="27" t="s">
        <v>96</v>
      </c>
      <c r="M73" s="43" t="s">
        <v>97</v>
      </c>
      <c r="N73" s="44" t="s">
        <v>95</v>
      </c>
      <c r="O73" s="27" t="s">
        <v>96</v>
      </c>
      <c r="P73" s="45" t="s">
        <v>97</v>
      </c>
      <c r="Q73" s="46" t="s">
        <v>95</v>
      </c>
      <c r="R73" s="27" t="s">
        <v>96</v>
      </c>
      <c r="S73" s="45" t="s">
        <v>97</v>
      </c>
      <c r="T73" s="46" t="s">
        <v>95</v>
      </c>
      <c r="U73" s="27" t="s">
        <v>96</v>
      </c>
      <c r="V73" s="43" t="s">
        <v>97</v>
      </c>
      <c r="W73" s="44" t="s">
        <v>95</v>
      </c>
      <c r="X73" s="27" t="s">
        <v>96</v>
      </c>
      <c r="Y73" s="45" t="s">
        <v>97</v>
      </c>
      <c r="Z73" s="46" t="s">
        <v>95</v>
      </c>
      <c r="AA73" s="27" t="s">
        <v>96</v>
      </c>
      <c r="AB73" s="43" t="s">
        <v>97</v>
      </c>
      <c r="AC73" s="44" t="s">
        <v>95</v>
      </c>
      <c r="AD73" s="27" t="s">
        <v>96</v>
      </c>
      <c r="AE73" s="45" t="s">
        <v>97</v>
      </c>
      <c r="AF73" s="46" t="s">
        <v>95</v>
      </c>
      <c r="AG73" s="27" t="s">
        <v>96</v>
      </c>
      <c r="AH73" s="45" t="s">
        <v>97</v>
      </c>
    </row>
    <row r="74">
      <c r="A74" s="19" t="s">
        <v>147</v>
      </c>
      <c r="B74" s="20">
        <v>7102946.0</v>
      </c>
      <c r="C74" s="36" t="s">
        <v>148</v>
      </c>
      <c r="D74" s="47"/>
      <c r="E74" s="48">
        <v>7102214.0</v>
      </c>
      <c r="F74" s="36" t="s">
        <v>148</v>
      </c>
      <c r="G74" s="47"/>
      <c r="H74" s="48">
        <v>7105313.0</v>
      </c>
      <c r="I74" s="36" t="s">
        <v>149</v>
      </c>
      <c r="J74" s="49"/>
      <c r="K74" s="50">
        <v>467.0</v>
      </c>
      <c r="L74" s="36" t="s">
        <v>150</v>
      </c>
      <c r="M74" s="47"/>
      <c r="N74" s="48">
        <v>7105261.0</v>
      </c>
      <c r="O74" s="36" t="s">
        <v>114</v>
      </c>
      <c r="P74" s="49"/>
      <c r="Q74" s="50">
        <v>7100857.0</v>
      </c>
      <c r="R74" s="36" t="s">
        <v>150</v>
      </c>
      <c r="S74" s="49"/>
      <c r="T74" s="50">
        <v>9670.0</v>
      </c>
      <c r="U74" s="36" t="s">
        <v>114</v>
      </c>
      <c r="V74" s="47"/>
      <c r="W74" s="48">
        <v>7102130.0</v>
      </c>
      <c r="X74" s="36" t="s">
        <v>148</v>
      </c>
      <c r="Y74" s="49"/>
      <c r="Z74" s="50">
        <v>5247.0</v>
      </c>
      <c r="AA74" s="36" t="s">
        <v>148</v>
      </c>
      <c r="AB74" s="47"/>
      <c r="AC74" s="48">
        <v>750.0</v>
      </c>
      <c r="AD74" s="51" t="s">
        <v>148</v>
      </c>
      <c r="AE74" s="49"/>
      <c r="AF74" s="50">
        <v>7106619.0</v>
      </c>
      <c r="AG74" s="51" t="s">
        <v>114</v>
      </c>
      <c r="AH74" s="11"/>
    </row>
    <row r="75">
      <c r="A75" s="19" t="s">
        <v>151</v>
      </c>
      <c r="B75" s="20">
        <v>6900517.0</v>
      </c>
      <c r="C75" s="11"/>
      <c r="D75" s="47"/>
      <c r="E75" s="48">
        <v>7101139.0</v>
      </c>
      <c r="F75" s="11"/>
      <c r="G75" s="47"/>
      <c r="H75" s="48">
        <v>7106608.0</v>
      </c>
      <c r="I75" s="11"/>
      <c r="J75" s="49"/>
      <c r="K75" s="50">
        <v>7105447.0</v>
      </c>
      <c r="L75" s="11"/>
      <c r="M75" s="47"/>
      <c r="N75" s="48">
        <v>7105192.0</v>
      </c>
      <c r="O75" s="11"/>
      <c r="P75" s="49"/>
      <c r="Q75" s="50">
        <v>7104131.0</v>
      </c>
      <c r="R75" s="11"/>
      <c r="S75" s="49"/>
      <c r="T75" s="50">
        <v>7100596.0</v>
      </c>
      <c r="U75" s="11"/>
      <c r="V75" s="47"/>
      <c r="W75" s="48">
        <v>7105551.0</v>
      </c>
      <c r="X75" s="36" t="s">
        <v>152</v>
      </c>
      <c r="Y75" s="49"/>
      <c r="Z75" s="50">
        <v>6913.0</v>
      </c>
      <c r="AA75" s="11"/>
      <c r="AB75" s="47"/>
      <c r="AC75" s="48">
        <v>7105949.0</v>
      </c>
      <c r="AD75" s="52"/>
      <c r="AE75" s="49"/>
      <c r="AF75" s="53"/>
      <c r="AG75" s="52"/>
      <c r="AH75" s="11"/>
    </row>
    <row r="76">
      <c r="A76" s="19" t="s">
        <v>153</v>
      </c>
      <c r="B76" s="20">
        <v>1379118.0</v>
      </c>
      <c r="C76" s="11"/>
      <c r="D76" s="47"/>
      <c r="E76" s="48">
        <v>1.6644491E7</v>
      </c>
      <c r="F76" s="11"/>
      <c r="G76" s="47"/>
      <c r="H76" s="48">
        <v>1657810.0</v>
      </c>
      <c r="I76" s="11"/>
      <c r="J76" s="49"/>
      <c r="K76" s="50">
        <v>1641550.0</v>
      </c>
      <c r="L76" s="11"/>
      <c r="M76" s="47"/>
      <c r="N76" s="48">
        <v>1657830.0</v>
      </c>
      <c r="O76" s="36" t="s">
        <v>154</v>
      </c>
      <c r="P76" s="49"/>
      <c r="Q76" s="50">
        <v>1345820.0</v>
      </c>
      <c r="R76" s="11"/>
      <c r="S76" s="49"/>
      <c r="T76" s="50">
        <v>832134.0</v>
      </c>
      <c r="U76" s="11"/>
      <c r="V76" s="47"/>
      <c r="W76" s="48">
        <v>800856.0</v>
      </c>
      <c r="X76" s="36" t="s">
        <v>152</v>
      </c>
      <c r="Y76" s="49"/>
      <c r="Z76" s="50">
        <v>1872237.0</v>
      </c>
      <c r="AA76" s="11"/>
      <c r="AB76" s="47"/>
      <c r="AC76" s="48">
        <v>94744.0</v>
      </c>
      <c r="AD76" s="52"/>
      <c r="AE76" s="49"/>
      <c r="AF76" s="53"/>
      <c r="AG76" s="52"/>
      <c r="AH76" s="11"/>
    </row>
    <row r="77">
      <c r="A77" s="19" t="s">
        <v>155</v>
      </c>
      <c r="B77" s="20">
        <v>3861.0</v>
      </c>
      <c r="C77" s="11"/>
      <c r="D77" s="47"/>
      <c r="E77" s="48">
        <v>1.0110006E7</v>
      </c>
      <c r="F77" s="11"/>
      <c r="G77" s="47"/>
      <c r="H77" s="48">
        <v>80791.0</v>
      </c>
      <c r="I77" s="11"/>
      <c r="J77" s="49"/>
      <c r="K77" s="50">
        <v>62721.0</v>
      </c>
      <c r="L77" s="11"/>
      <c r="M77" s="47"/>
      <c r="N77" s="48">
        <v>2081524.0</v>
      </c>
      <c r="O77" s="11"/>
      <c r="P77" s="49"/>
      <c r="Q77" s="50">
        <v>1040834.0</v>
      </c>
      <c r="R77" s="11"/>
      <c r="S77" s="49"/>
      <c r="T77" s="50">
        <v>162989.0</v>
      </c>
      <c r="U77" s="11"/>
      <c r="V77" s="47"/>
      <c r="W77" s="48">
        <v>4062481.0</v>
      </c>
      <c r="X77" s="11"/>
      <c r="Y77" s="49"/>
      <c r="Z77" s="50">
        <v>2011242.0</v>
      </c>
      <c r="AA77" s="11"/>
      <c r="AB77" s="47"/>
      <c r="AC77" s="48">
        <v>2091921.0</v>
      </c>
      <c r="AD77" s="48">
        <v>625.0</v>
      </c>
      <c r="AE77" s="49"/>
      <c r="AF77" s="50">
        <v>1091083.0</v>
      </c>
      <c r="AG77" s="52"/>
      <c r="AH77" s="11"/>
    </row>
    <row r="78">
      <c r="A78" s="19" t="s">
        <v>156</v>
      </c>
      <c r="B78" s="36" t="s">
        <v>157</v>
      </c>
      <c r="C78" s="11"/>
      <c r="D78" s="47"/>
      <c r="E78" s="51" t="s">
        <v>20</v>
      </c>
      <c r="F78" s="11"/>
      <c r="G78" s="47"/>
      <c r="H78" s="51" t="s">
        <v>20</v>
      </c>
      <c r="I78" s="11"/>
      <c r="J78" s="49"/>
      <c r="K78" s="54" t="s">
        <v>20</v>
      </c>
      <c r="L78" s="11"/>
      <c r="M78" s="47"/>
      <c r="N78" s="51" t="s">
        <v>157</v>
      </c>
      <c r="O78" s="11"/>
      <c r="P78" s="49"/>
      <c r="Q78" s="54" t="s">
        <v>157</v>
      </c>
      <c r="R78" s="11"/>
      <c r="S78" s="49"/>
      <c r="T78" s="54" t="s">
        <v>20</v>
      </c>
      <c r="U78" s="11"/>
      <c r="V78" s="47"/>
      <c r="W78" s="51" t="s">
        <v>20</v>
      </c>
      <c r="X78" s="11"/>
      <c r="Y78" s="49"/>
      <c r="Z78" s="54" t="s">
        <v>157</v>
      </c>
      <c r="AA78" s="11"/>
      <c r="AB78" s="47"/>
      <c r="AC78" s="51" t="s">
        <v>157</v>
      </c>
      <c r="AD78" s="51" t="s">
        <v>152</v>
      </c>
      <c r="AE78" s="49"/>
      <c r="AF78" s="54" t="s">
        <v>157</v>
      </c>
      <c r="AG78" s="52"/>
      <c r="AH78" s="11"/>
    </row>
    <row r="79">
      <c r="A79" s="19" t="s">
        <v>158</v>
      </c>
      <c r="B79" s="36" t="s">
        <v>157</v>
      </c>
      <c r="C79" s="11"/>
      <c r="D79" s="47"/>
      <c r="E79" s="51" t="s">
        <v>20</v>
      </c>
      <c r="F79" s="11"/>
      <c r="G79" s="47"/>
      <c r="H79" s="51" t="s">
        <v>20</v>
      </c>
      <c r="I79" s="11"/>
      <c r="J79" s="49"/>
      <c r="K79" s="54" t="s">
        <v>20</v>
      </c>
      <c r="L79" s="11"/>
      <c r="M79" s="47"/>
      <c r="N79" s="51" t="s">
        <v>20</v>
      </c>
      <c r="O79" s="11"/>
      <c r="P79" s="49"/>
      <c r="Q79" s="54" t="s">
        <v>20</v>
      </c>
      <c r="R79" s="11"/>
      <c r="S79" s="49"/>
      <c r="T79" s="54" t="s">
        <v>20</v>
      </c>
      <c r="U79" s="11"/>
      <c r="V79" s="47"/>
      <c r="W79" s="51" t="s">
        <v>20</v>
      </c>
      <c r="X79" s="11"/>
      <c r="Y79" s="49"/>
      <c r="Z79" s="54" t="s">
        <v>157</v>
      </c>
      <c r="AA79" s="11"/>
      <c r="AB79" s="47"/>
      <c r="AC79" s="51" t="s">
        <v>157</v>
      </c>
      <c r="AD79" s="51" t="s">
        <v>159</v>
      </c>
      <c r="AE79" s="49"/>
      <c r="AF79" s="54" t="s">
        <v>157</v>
      </c>
      <c r="AG79" s="52"/>
      <c r="AH79" s="11"/>
    </row>
    <row r="80">
      <c r="A80" s="19" t="s">
        <v>160</v>
      </c>
      <c r="B80" s="20">
        <v>1.02305098E8</v>
      </c>
      <c r="C80" s="11"/>
      <c r="D80" s="47"/>
      <c r="E80" s="48">
        <v>1.0231352E8</v>
      </c>
      <c r="F80" s="11"/>
      <c r="G80" s="47"/>
      <c r="H80" s="48">
        <v>1.12101107E8</v>
      </c>
      <c r="I80" s="11"/>
      <c r="J80" s="49"/>
      <c r="K80" s="50">
        <v>1.1210097E8</v>
      </c>
      <c r="L80" s="11"/>
      <c r="M80" s="47"/>
      <c r="N80" s="48">
        <v>1.02310094E8</v>
      </c>
      <c r="O80" s="11"/>
      <c r="P80" s="49"/>
      <c r="Q80" s="50">
        <v>1.22102532E8</v>
      </c>
      <c r="R80" s="11"/>
      <c r="S80" s="49"/>
      <c r="T80" s="50">
        <v>1.02305824E8</v>
      </c>
      <c r="U80" s="11"/>
      <c r="V80" s="47"/>
      <c r="W80" s="48">
        <v>1.12100413E8</v>
      </c>
      <c r="X80" s="11"/>
      <c r="Y80" s="49"/>
      <c r="Z80" s="50">
        <v>1.12101804E8</v>
      </c>
      <c r="AA80" s="11"/>
      <c r="AB80" s="47"/>
      <c r="AC80" s="48">
        <v>1.0215638E7</v>
      </c>
      <c r="AD80" s="52"/>
      <c r="AE80" s="49"/>
      <c r="AF80" s="50">
        <v>1.02305996E8</v>
      </c>
      <c r="AG80" s="52"/>
      <c r="AH80" s="11"/>
    </row>
    <row r="81">
      <c r="A81" s="19" t="s">
        <v>161</v>
      </c>
      <c r="B81" s="36" t="s">
        <v>157</v>
      </c>
      <c r="C81" s="11"/>
      <c r="D81" s="47"/>
      <c r="E81" s="51" t="s">
        <v>20</v>
      </c>
      <c r="F81" s="11"/>
      <c r="G81" s="47"/>
      <c r="H81" s="51" t="s">
        <v>20</v>
      </c>
      <c r="I81" s="11"/>
      <c r="J81" s="49"/>
      <c r="K81" s="54" t="s">
        <v>162</v>
      </c>
      <c r="L81" s="11"/>
      <c r="M81" s="47"/>
      <c r="N81" s="51" t="s">
        <v>20</v>
      </c>
      <c r="O81" s="11"/>
      <c r="P81" s="49"/>
      <c r="Q81" s="54" t="s">
        <v>20</v>
      </c>
      <c r="R81" s="11"/>
      <c r="S81" s="49"/>
      <c r="T81" s="54" t="s">
        <v>20</v>
      </c>
      <c r="U81" s="11"/>
      <c r="V81" s="47"/>
      <c r="W81" s="51"/>
      <c r="X81" s="11"/>
      <c r="Y81" s="49"/>
      <c r="Z81" s="54" t="s">
        <v>20</v>
      </c>
      <c r="AA81" s="11"/>
      <c r="AB81" s="47"/>
      <c r="AC81" s="51" t="s">
        <v>162</v>
      </c>
      <c r="AD81" s="52"/>
      <c r="AE81" s="49"/>
      <c r="AF81" s="54" t="s">
        <v>157</v>
      </c>
      <c r="AG81" s="52"/>
      <c r="AH81" s="11"/>
    </row>
    <row r="82">
      <c r="A82" s="24" t="s">
        <v>163</v>
      </c>
      <c r="B82" s="36" t="s">
        <v>157</v>
      </c>
      <c r="C82" s="11"/>
      <c r="D82" s="47"/>
      <c r="E82" s="51" t="s">
        <v>20</v>
      </c>
      <c r="F82" s="11"/>
      <c r="G82" s="47"/>
      <c r="H82" s="51" t="s">
        <v>20</v>
      </c>
      <c r="I82" s="11"/>
      <c r="J82" s="49"/>
      <c r="K82" s="54" t="s">
        <v>20</v>
      </c>
      <c r="L82" s="11"/>
      <c r="M82" s="47"/>
      <c r="N82" s="51" t="s">
        <v>20</v>
      </c>
      <c r="O82" s="11"/>
      <c r="P82" s="49"/>
      <c r="Q82" s="54" t="s">
        <v>20</v>
      </c>
      <c r="R82" s="11"/>
      <c r="S82" s="49"/>
      <c r="T82" s="54" t="s">
        <v>20</v>
      </c>
      <c r="U82" s="11"/>
      <c r="V82" s="47"/>
      <c r="W82" s="51" t="s">
        <v>20</v>
      </c>
      <c r="X82" s="11"/>
      <c r="Y82" s="49"/>
      <c r="Z82" s="54" t="s">
        <v>20</v>
      </c>
      <c r="AA82" s="11"/>
      <c r="AB82" s="47"/>
      <c r="AC82" s="51" t="s">
        <v>20</v>
      </c>
      <c r="AD82" s="52"/>
      <c r="AE82" s="49"/>
      <c r="AF82" s="54" t="s">
        <v>157</v>
      </c>
      <c r="AG82" s="52"/>
      <c r="AH82" s="11"/>
    </row>
    <row r="83">
      <c r="A83" s="19" t="s">
        <v>164</v>
      </c>
      <c r="B83" s="20">
        <v>522705.0</v>
      </c>
      <c r="C83" s="11"/>
      <c r="D83" s="47"/>
      <c r="E83" s="48">
        <v>530106.0</v>
      </c>
      <c r="F83" s="11"/>
      <c r="G83" s="47"/>
      <c r="H83" s="48">
        <v>529414.0</v>
      </c>
      <c r="I83" s="11"/>
      <c r="J83" s="49"/>
      <c r="K83" s="50">
        <v>586526.0</v>
      </c>
      <c r="L83" s="11"/>
      <c r="M83" s="47"/>
      <c r="N83" s="48">
        <v>605453.0</v>
      </c>
      <c r="O83" s="11"/>
      <c r="P83" s="49"/>
      <c r="Q83" s="50">
        <v>587021.0</v>
      </c>
      <c r="R83" s="11"/>
      <c r="S83" s="49"/>
      <c r="T83" s="50">
        <v>586216.0</v>
      </c>
      <c r="U83" s="11"/>
      <c r="V83" s="47"/>
      <c r="W83" s="48">
        <v>529844.0</v>
      </c>
      <c r="X83" s="11"/>
      <c r="Y83" s="49"/>
      <c r="Z83" s="50">
        <v>605854.0</v>
      </c>
      <c r="AA83" s="11"/>
      <c r="AB83" s="47"/>
      <c r="AC83" s="48">
        <v>587107.0</v>
      </c>
      <c r="AD83" s="52"/>
      <c r="AE83" s="49"/>
      <c r="AF83" s="50">
        <v>522625.0</v>
      </c>
      <c r="AG83" s="52"/>
      <c r="AH83" s="11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</row>
  </sheetData>
  <mergeCells count="16">
    <mergeCell ref="H72:J72"/>
    <mergeCell ref="K72:M72"/>
    <mergeCell ref="N72:P72"/>
    <mergeCell ref="Q72:S72"/>
    <mergeCell ref="T72:V72"/>
    <mergeCell ref="W72:Y72"/>
    <mergeCell ref="AC72:AE72"/>
    <mergeCell ref="AF72:AH72"/>
    <mergeCell ref="P1:AC1"/>
    <mergeCell ref="P18:AC18"/>
    <mergeCell ref="P26:AB26"/>
    <mergeCell ref="P36:S36"/>
    <mergeCell ref="W36:Y36"/>
    <mergeCell ref="B72:D72"/>
    <mergeCell ref="E72:G72"/>
    <mergeCell ref="Z72:AB72"/>
  </mergeCells>
  <dataValidations>
    <dataValidation type="list" allowBlank="1" showErrorMessage="1" sqref="C13:M13">
      <formula1>"קיים,1 בלאי,2 בלאי, 1 חוסר,2 חוסר"</formula1>
    </dataValidation>
    <dataValidation type="list" allowBlank="1" showErrorMessage="1" sqref="C3:M12 C14:M18 C20:M68">
      <formula1>"קיים,בלאי,חוסר"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1.13"/>
    <col customWidth="1" min="12" max="12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55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>
      <c r="A2" s="7" t="s">
        <v>2</v>
      </c>
      <c r="B2" s="8" t="s">
        <v>17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18</v>
      </c>
      <c r="P2" s="11"/>
      <c r="Q2" s="8" t="s">
        <v>17</v>
      </c>
      <c r="R2" s="8" t="s">
        <v>6</v>
      </c>
      <c r="S2" s="8" t="s">
        <v>7</v>
      </c>
      <c r="T2" s="8" t="s">
        <v>8</v>
      </c>
      <c r="U2" s="8" t="s">
        <v>9</v>
      </c>
      <c r="V2" s="8" t="s">
        <v>10</v>
      </c>
      <c r="W2" s="8" t="s">
        <v>11</v>
      </c>
      <c r="X2" s="8" t="s">
        <v>12</v>
      </c>
      <c r="Y2" s="8" t="s">
        <v>13</v>
      </c>
      <c r="Z2" s="8" t="s">
        <v>14</v>
      </c>
      <c r="AA2" s="8" t="s">
        <v>15</v>
      </c>
      <c r="AB2" s="8" t="s">
        <v>16</v>
      </c>
      <c r="AC2" s="8" t="s">
        <v>18</v>
      </c>
    </row>
    <row r="3">
      <c r="A3" s="12" t="s">
        <v>19</v>
      </c>
      <c r="B3" s="29">
        <v>1.0</v>
      </c>
      <c r="C3" s="22" t="s">
        <v>20</v>
      </c>
      <c r="D3" s="22" t="s">
        <v>21</v>
      </c>
      <c r="E3" s="16" t="s">
        <v>20</v>
      </c>
      <c r="F3" s="16" t="s">
        <v>20</v>
      </c>
      <c r="G3" s="16" t="s">
        <v>20</v>
      </c>
      <c r="H3" s="16" t="s">
        <v>20</v>
      </c>
      <c r="I3" s="16" t="s">
        <v>20</v>
      </c>
      <c r="J3" s="16" t="s">
        <v>20</v>
      </c>
      <c r="K3" s="16" t="s">
        <v>20</v>
      </c>
      <c r="L3" s="16" t="s">
        <v>20</v>
      </c>
      <c r="M3" s="56" t="s">
        <v>20</v>
      </c>
      <c r="N3" s="13">
        <f t="shared" ref="N3:N12" si="1">COUNTIF(C3:M3, "קיים")</f>
        <v>11</v>
      </c>
      <c r="P3" s="19" t="s">
        <v>22</v>
      </c>
      <c r="Q3" s="20">
        <v>36.0</v>
      </c>
      <c r="R3" s="21">
        <v>37.0</v>
      </c>
      <c r="S3" s="21">
        <v>49.0</v>
      </c>
      <c r="T3" s="21">
        <v>41.0</v>
      </c>
      <c r="U3" s="21">
        <v>35.0</v>
      </c>
      <c r="V3" s="21">
        <v>0.0</v>
      </c>
      <c r="W3" s="21">
        <v>41.0</v>
      </c>
      <c r="X3" s="21">
        <v>30.0</v>
      </c>
      <c r="Y3" s="21">
        <v>38.0</v>
      </c>
      <c r="Z3" s="21">
        <v>42.0</v>
      </c>
      <c r="AA3" s="21">
        <v>40.0</v>
      </c>
      <c r="AB3" s="21">
        <v>0.0</v>
      </c>
      <c r="AC3" s="21">
        <f t="shared" ref="AC3:AC8" si="2">SUM(R3:AB3)</f>
        <v>353</v>
      </c>
    </row>
    <row r="4">
      <c r="A4" s="12" t="s">
        <v>23</v>
      </c>
      <c r="B4" s="29">
        <v>1.0</v>
      </c>
      <c r="C4" s="22" t="s">
        <v>20</v>
      </c>
      <c r="D4" s="22" t="s">
        <v>24</v>
      </c>
      <c r="E4" s="16" t="s">
        <v>20</v>
      </c>
      <c r="F4" s="16" t="s">
        <v>24</v>
      </c>
      <c r="G4" s="16" t="s">
        <v>20</v>
      </c>
      <c r="H4" s="16" t="s">
        <v>20</v>
      </c>
      <c r="I4" s="16" t="s">
        <v>20</v>
      </c>
      <c r="J4" s="16" t="s">
        <v>20</v>
      </c>
      <c r="K4" s="16" t="s">
        <v>20</v>
      </c>
      <c r="L4" s="16" t="s">
        <v>20</v>
      </c>
      <c r="M4" s="16" t="s">
        <v>20</v>
      </c>
      <c r="N4" s="13">
        <f t="shared" si="1"/>
        <v>9</v>
      </c>
      <c r="P4" s="24">
        <v>0.5</v>
      </c>
      <c r="Q4" s="20">
        <v>2.0</v>
      </c>
      <c r="R4" s="21">
        <v>0.0</v>
      </c>
      <c r="S4" s="21">
        <v>2.0</v>
      </c>
      <c r="T4" s="21">
        <v>0.0</v>
      </c>
      <c r="U4" s="21">
        <v>1.0</v>
      </c>
      <c r="V4" s="21">
        <v>0.0</v>
      </c>
      <c r="W4" s="21">
        <v>1.0</v>
      </c>
      <c r="X4" s="21">
        <v>0.0</v>
      </c>
      <c r="Y4" s="21">
        <v>1.0</v>
      </c>
      <c r="Z4" s="21">
        <v>1.0</v>
      </c>
      <c r="AA4" s="21">
        <v>2.0</v>
      </c>
      <c r="AB4" s="21">
        <v>1.0</v>
      </c>
      <c r="AC4" s="21">
        <f t="shared" si="2"/>
        <v>9</v>
      </c>
    </row>
    <row r="5">
      <c r="A5" s="12" t="s">
        <v>25</v>
      </c>
      <c r="B5" s="29">
        <v>1.0</v>
      </c>
      <c r="C5" s="22" t="s">
        <v>24</v>
      </c>
      <c r="D5" s="22" t="s">
        <v>24</v>
      </c>
      <c r="E5" s="16" t="s">
        <v>20</v>
      </c>
      <c r="F5" s="16" t="s">
        <v>20</v>
      </c>
      <c r="G5" s="16" t="s">
        <v>20</v>
      </c>
      <c r="H5" s="16" t="s">
        <v>24</v>
      </c>
      <c r="I5" s="16" t="s">
        <v>20</v>
      </c>
      <c r="J5" s="16" t="s">
        <v>20</v>
      </c>
      <c r="K5" s="16" t="s">
        <v>20</v>
      </c>
      <c r="L5" s="16" t="s">
        <v>24</v>
      </c>
      <c r="M5" s="16" t="s">
        <v>20</v>
      </c>
      <c r="N5" s="13">
        <f t="shared" si="1"/>
        <v>7</v>
      </c>
      <c r="P5" s="19" t="s">
        <v>26</v>
      </c>
      <c r="Q5" s="20">
        <v>10.0</v>
      </c>
      <c r="R5" s="21">
        <v>8.0</v>
      </c>
      <c r="S5" s="21">
        <v>10.0</v>
      </c>
      <c r="T5" s="21">
        <v>9.0</v>
      </c>
      <c r="U5" s="21">
        <v>3.0</v>
      </c>
      <c r="V5" s="21">
        <v>0.0</v>
      </c>
      <c r="W5" s="21">
        <v>7.0</v>
      </c>
      <c r="X5" s="21">
        <v>8.0</v>
      </c>
      <c r="Y5" s="21">
        <v>6.0</v>
      </c>
      <c r="Z5" s="21">
        <v>5.0</v>
      </c>
      <c r="AA5" s="21">
        <v>6.0</v>
      </c>
      <c r="AB5" s="21">
        <v>5.0</v>
      </c>
      <c r="AC5" s="21">
        <f t="shared" si="2"/>
        <v>67</v>
      </c>
    </row>
    <row r="6">
      <c r="A6" s="12" t="s">
        <v>27</v>
      </c>
      <c r="B6" s="29">
        <v>1.0</v>
      </c>
      <c r="C6" s="16" t="s">
        <v>24</v>
      </c>
      <c r="D6" s="16" t="s">
        <v>20</v>
      </c>
      <c r="E6" s="16" t="s">
        <v>20</v>
      </c>
      <c r="F6" s="16" t="s">
        <v>24</v>
      </c>
      <c r="G6" s="16" t="s">
        <v>20</v>
      </c>
      <c r="H6" s="16" t="s">
        <v>28</v>
      </c>
      <c r="I6" s="16" t="s">
        <v>20</v>
      </c>
      <c r="J6" s="16" t="s">
        <v>20</v>
      </c>
      <c r="K6" s="16" t="s">
        <v>20</v>
      </c>
      <c r="L6" s="16" t="s">
        <v>24</v>
      </c>
      <c r="M6" s="16" t="s">
        <v>20</v>
      </c>
      <c r="N6" s="13">
        <f t="shared" si="1"/>
        <v>7</v>
      </c>
      <c r="P6" s="19" t="s">
        <v>29</v>
      </c>
      <c r="Q6" s="20">
        <v>17.0</v>
      </c>
      <c r="R6" s="21">
        <v>24.0</v>
      </c>
      <c r="S6" s="21">
        <v>17.0</v>
      </c>
      <c r="T6" s="21">
        <v>21.0</v>
      </c>
      <c r="U6" s="21">
        <v>31.0</v>
      </c>
      <c r="V6" s="25">
        <v>0.0</v>
      </c>
      <c r="W6" s="21">
        <v>22.0</v>
      </c>
      <c r="X6" s="21">
        <v>26.0</v>
      </c>
      <c r="Y6" s="21">
        <v>24.0</v>
      </c>
      <c r="Z6" s="21">
        <v>19.0</v>
      </c>
      <c r="AA6" s="21">
        <v>21.0</v>
      </c>
      <c r="AB6" s="21">
        <v>21.0</v>
      </c>
      <c r="AC6" s="21">
        <f t="shared" si="2"/>
        <v>226</v>
      </c>
    </row>
    <row r="7">
      <c r="A7" s="12" t="s">
        <v>30</v>
      </c>
      <c r="B7" s="29">
        <v>1.0</v>
      </c>
      <c r="C7" s="16" t="s">
        <v>20</v>
      </c>
      <c r="D7" s="16" t="s">
        <v>20</v>
      </c>
      <c r="E7" s="16" t="s">
        <v>20</v>
      </c>
      <c r="F7" s="16" t="s">
        <v>20</v>
      </c>
      <c r="G7" s="16" t="s">
        <v>20</v>
      </c>
      <c r="H7" s="16" t="s">
        <v>20</v>
      </c>
      <c r="I7" s="16" t="s">
        <v>20</v>
      </c>
      <c r="J7" s="16" t="s">
        <v>20</v>
      </c>
      <c r="K7" s="16" t="s">
        <v>20</v>
      </c>
      <c r="L7" s="16" t="s">
        <v>20</v>
      </c>
      <c r="M7" s="16" t="s">
        <v>20</v>
      </c>
      <c r="N7" s="13">
        <f t="shared" si="1"/>
        <v>11</v>
      </c>
      <c r="P7" s="19" t="s">
        <v>31</v>
      </c>
      <c r="Q7" s="20">
        <v>4.0</v>
      </c>
      <c r="R7" s="21">
        <v>0.0</v>
      </c>
      <c r="S7" s="21">
        <v>0.0</v>
      </c>
      <c r="T7" s="21">
        <v>0.0</v>
      </c>
      <c r="U7" s="21">
        <v>0.0</v>
      </c>
      <c r="V7" s="21">
        <v>0.0</v>
      </c>
      <c r="W7" s="21">
        <v>0.0</v>
      </c>
      <c r="X7" s="21">
        <v>0.0</v>
      </c>
      <c r="Y7" s="21">
        <v>0.0</v>
      </c>
      <c r="Z7" s="21">
        <v>1.0</v>
      </c>
      <c r="AA7" s="21">
        <v>0.0</v>
      </c>
      <c r="AB7" s="21">
        <v>0.0</v>
      </c>
      <c r="AC7" s="21">
        <f t="shared" si="2"/>
        <v>1</v>
      </c>
    </row>
    <row r="8">
      <c r="A8" s="12" t="s">
        <v>32</v>
      </c>
      <c r="B8" s="29">
        <v>1.0</v>
      </c>
      <c r="C8" s="16" t="s">
        <v>20</v>
      </c>
      <c r="D8" s="16" t="s">
        <v>20</v>
      </c>
      <c r="E8" s="16" t="s">
        <v>20</v>
      </c>
      <c r="F8" s="16" t="s">
        <v>20</v>
      </c>
      <c r="G8" s="16" t="s">
        <v>20</v>
      </c>
      <c r="H8" s="16" t="s">
        <v>20</v>
      </c>
      <c r="I8" s="16" t="s">
        <v>20</v>
      </c>
      <c r="J8" s="16" t="s">
        <v>20</v>
      </c>
      <c r="K8" s="16" t="s">
        <v>20</v>
      </c>
      <c r="L8" s="16" t="s">
        <v>20</v>
      </c>
      <c r="M8" s="16" t="s">
        <v>20</v>
      </c>
      <c r="N8" s="13">
        <f t="shared" si="1"/>
        <v>11</v>
      </c>
      <c r="P8" s="19" t="s">
        <v>33</v>
      </c>
      <c r="Q8" s="20">
        <v>3.0</v>
      </c>
      <c r="R8" s="21">
        <v>0.0</v>
      </c>
      <c r="S8" s="21">
        <v>0.0</v>
      </c>
      <c r="T8" s="21">
        <v>0.0</v>
      </c>
      <c r="U8" s="21">
        <v>0.0</v>
      </c>
      <c r="V8" s="21">
        <v>0.0</v>
      </c>
      <c r="W8" s="21">
        <v>1.0</v>
      </c>
      <c r="X8" s="21">
        <v>0.0</v>
      </c>
      <c r="Y8" s="21">
        <v>0.0</v>
      </c>
      <c r="Z8" s="21">
        <v>0.0</v>
      </c>
      <c r="AA8" s="21">
        <v>0.0</v>
      </c>
      <c r="AB8" s="21">
        <v>0.0</v>
      </c>
      <c r="AC8" s="21">
        <f t="shared" si="2"/>
        <v>1</v>
      </c>
    </row>
    <row r="9">
      <c r="A9" s="12" t="s">
        <v>34</v>
      </c>
      <c r="B9" s="29">
        <v>1.0</v>
      </c>
      <c r="C9" s="16" t="s">
        <v>20</v>
      </c>
      <c r="D9" s="16" t="s">
        <v>28</v>
      </c>
      <c r="E9" s="16" t="s">
        <v>20</v>
      </c>
      <c r="F9" s="16" t="s">
        <v>20</v>
      </c>
      <c r="G9" s="16" t="s">
        <v>20</v>
      </c>
      <c r="H9" s="16" t="s">
        <v>20</v>
      </c>
      <c r="I9" s="16" t="s">
        <v>20</v>
      </c>
      <c r="J9" s="16" t="s">
        <v>20</v>
      </c>
      <c r="K9" s="16" t="s">
        <v>20</v>
      </c>
      <c r="L9" s="16" t="s">
        <v>20</v>
      </c>
      <c r="M9" s="16" t="s">
        <v>20</v>
      </c>
      <c r="N9" s="13">
        <f t="shared" si="1"/>
        <v>10</v>
      </c>
      <c r="P9" s="19" t="s">
        <v>35</v>
      </c>
      <c r="Q9" s="20">
        <v>4.0</v>
      </c>
      <c r="R9" s="20">
        <v>0.0</v>
      </c>
      <c r="S9" s="20">
        <v>0.0</v>
      </c>
      <c r="T9" s="20">
        <v>0.0</v>
      </c>
      <c r="U9" s="20">
        <v>0.0</v>
      </c>
      <c r="V9" s="20">
        <v>0.0</v>
      </c>
      <c r="W9" s="20">
        <v>0.0</v>
      </c>
      <c r="X9" s="20">
        <v>0.0</v>
      </c>
      <c r="Y9" s="20">
        <v>0.0</v>
      </c>
      <c r="Z9" s="20">
        <v>0.0</v>
      </c>
      <c r="AA9" s="20">
        <v>0.0</v>
      </c>
      <c r="AB9" s="20">
        <v>0.0</v>
      </c>
      <c r="AC9" s="20">
        <v>0.0</v>
      </c>
    </row>
    <row r="10">
      <c r="A10" s="12" t="s">
        <v>36</v>
      </c>
      <c r="B10" s="29">
        <v>1.0</v>
      </c>
      <c r="C10" s="16" t="s">
        <v>20</v>
      </c>
      <c r="D10" s="16" t="s">
        <v>20</v>
      </c>
      <c r="E10" s="16" t="s">
        <v>20</v>
      </c>
      <c r="F10" s="16" t="s">
        <v>20</v>
      </c>
      <c r="G10" s="16" t="s">
        <v>20</v>
      </c>
      <c r="H10" s="16" t="s">
        <v>20</v>
      </c>
      <c r="I10" s="16" t="s">
        <v>20</v>
      </c>
      <c r="J10" s="16" t="s">
        <v>20</v>
      </c>
      <c r="K10" s="16" t="s">
        <v>20</v>
      </c>
      <c r="L10" s="16" t="s">
        <v>20</v>
      </c>
      <c r="M10" s="16" t="s">
        <v>20</v>
      </c>
      <c r="N10" s="13">
        <f t="shared" si="1"/>
        <v>11</v>
      </c>
      <c r="P10" s="19" t="s">
        <v>37</v>
      </c>
      <c r="Q10" s="11"/>
      <c r="R10" s="20">
        <v>0.0</v>
      </c>
      <c r="S10" s="20">
        <v>0.0</v>
      </c>
      <c r="T10" s="20">
        <v>0.0</v>
      </c>
      <c r="U10" s="20">
        <v>0.0</v>
      </c>
      <c r="V10" s="20">
        <v>0.0</v>
      </c>
      <c r="W10" s="20">
        <v>0.0</v>
      </c>
      <c r="X10" s="20">
        <v>0.0</v>
      </c>
      <c r="Y10" s="20">
        <v>0.0</v>
      </c>
      <c r="Z10" s="20">
        <v>0.0</v>
      </c>
      <c r="AA10" s="20">
        <v>0.0</v>
      </c>
      <c r="AB10" s="20">
        <v>0.0</v>
      </c>
      <c r="AC10" s="20">
        <v>0.0</v>
      </c>
    </row>
    <row r="11">
      <c r="A11" s="12" t="s">
        <v>38</v>
      </c>
      <c r="B11" s="29">
        <v>1.0</v>
      </c>
      <c r="C11" s="16" t="s">
        <v>20</v>
      </c>
      <c r="D11" s="16" t="s">
        <v>20</v>
      </c>
      <c r="E11" s="16" t="s">
        <v>20</v>
      </c>
      <c r="F11" s="16" t="s">
        <v>20</v>
      </c>
      <c r="G11" s="16" t="s">
        <v>20</v>
      </c>
      <c r="H11" s="16" t="s">
        <v>20</v>
      </c>
      <c r="I11" s="16" t="s">
        <v>20</v>
      </c>
      <c r="J11" s="16" t="s">
        <v>20</v>
      </c>
      <c r="K11" s="16" t="s">
        <v>20</v>
      </c>
      <c r="L11" s="16" t="s">
        <v>28</v>
      </c>
      <c r="M11" s="16" t="s">
        <v>20</v>
      </c>
      <c r="N11" s="13">
        <f t="shared" si="1"/>
        <v>10</v>
      </c>
      <c r="P11" s="19" t="s">
        <v>39</v>
      </c>
      <c r="Q11" s="11"/>
      <c r="R11" s="20">
        <v>8.0</v>
      </c>
      <c r="S11" s="20">
        <v>7.0</v>
      </c>
      <c r="T11" s="20">
        <v>0.0</v>
      </c>
      <c r="U11" s="20">
        <v>0.0</v>
      </c>
      <c r="V11" s="20">
        <v>0.0</v>
      </c>
      <c r="W11" s="20">
        <v>0.0</v>
      </c>
      <c r="X11" s="20">
        <v>8.0</v>
      </c>
      <c r="Y11" s="20">
        <v>0.0</v>
      </c>
      <c r="Z11" s="20">
        <v>0.0</v>
      </c>
      <c r="AA11" s="20">
        <v>0.0</v>
      </c>
      <c r="AB11" s="20">
        <v>0.0</v>
      </c>
      <c r="AC11" s="20">
        <v>23.0</v>
      </c>
    </row>
    <row r="12">
      <c r="A12" s="12" t="s">
        <v>40</v>
      </c>
      <c r="B12" s="29">
        <v>1.0</v>
      </c>
      <c r="C12" s="16" t="s">
        <v>20</v>
      </c>
      <c r="D12" s="16" t="s">
        <v>20</v>
      </c>
      <c r="E12" s="16" t="s">
        <v>20</v>
      </c>
      <c r="F12" s="16" t="s">
        <v>20</v>
      </c>
      <c r="G12" s="16" t="s">
        <v>20</v>
      </c>
      <c r="H12" s="16" t="s">
        <v>20</v>
      </c>
      <c r="I12" s="16" t="s">
        <v>20</v>
      </c>
      <c r="J12" s="16" t="s">
        <v>20</v>
      </c>
      <c r="K12" s="16" t="s">
        <v>20</v>
      </c>
      <c r="L12" s="16" t="s">
        <v>28</v>
      </c>
      <c r="M12" s="16" t="s">
        <v>20</v>
      </c>
      <c r="N12" s="13">
        <f t="shared" si="1"/>
        <v>10</v>
      </c>
      <c r="P12" s="19" t="s">
        <v>41</v>
      </c>
      <c r="Q12" s="11"/>
      <c r="R12" s="20">
        <v>6.0</v>
      </c>
      <c r="S12" s="20">
        <v>6.0</v>
      </c>
      <c r="T12" s="20">
        <v>3.0</v>
      </c>
      <c r="U12" s="20">
        <v>0.0</v>
      </c>
      <c r="V12" s="20">
        <v>0.0</v>
      </c>
      <c r="W12" s="20">
        <v>0.0</v>
      </c>
      <c r="X12" s="20">
        <v>3.0</v>
      </c>
      <c r="Y12" s="20">
        <v>0.0</v>
      </c>
      <c r="Z12" s="20">
        <v>3.0</v>
      </c>
      <c r="AA12" s="20">
        <v>0.0</v>
      </c>
      <c r="AB12" s="20">
        <v>0.0</v>
      </c>
      <c r="AC12" s="20">
        <v>21.0</v>
      </c>
    </row>
    <row r="13">
      <c r="A13" s="26" t="s">
        <v>165</v>
      </c>
      <c r="B13" s="29">
        <v>2.0</v>
      </c>
      <c r="C13" s="16" t="s">
        <v>166</v>
      </c>
      <c r="D13" s="16" t="s">
        <v>166</v>
      </c>
      <c r="E13" s="16" t="s">
        <v>166</v>
      </c>
      <c r="F13" s="16" t="s">
        <v>166</v>
      </c>
      <c r="G13" s="16" t="s">
        <v>166</v>
      </c>
      <c r="H13" s="16" t="s">
        <v>166</v>
      </c>
      <c r="I13" s="16" t="s">
        <v>166</v>
      </c>
      <c r="J13" s="16" t="s">
        <v>166</v>
      </c>
      <c r="K13" s="16" t="s">
        <v>166</v>
      </c>
      <c r="L13" s="16" t="s">
        <v>166</v>
      </c>
      <c r="M13" s="16" t="s">
        <v>166</v>
      </c>
      <c r="N13" s="13">
        <f t="array" ref="N13">COUNTIF(C13:M13, "קיים") * 2 + COUNTIF(C13:M13,{" 1 חוסר","1 בלאי"})</f>
        <v>11</v>
      </c>
      <c r="P13" s="19" t="s">
        <v>44</v>
      </c>
      <c r="Q13" s="20">
        <v>6.0</v>
      </c>
      <c r="R13" s="20">
        <v>6.0</v>
      </c>
      <c r="S13" s="20">
        <v>6.0</v>
      </c>
      <c r="T13" s="20">
        <v>6.0</v>
      </c>
      <c r="U13" s="20">
        <v>6.0</v>
      </c>
      <c r="V13" s="20">
        <v>0.0</v>
      </c>
      <c r="W13" s="20">
        <v>6.0</v>
      </c>
      <c r="X13" s="20">
        <v>6.0</v>
      </c>
      <c r="Y13" s="20">
        <v>6.0</v>
      </c>
      <c r="Z13" s="20">
        <v>6.0</v>
      </c>
      <c r="AA13" s="20">
        <v>6.0</v>
      </c>
      <c r="AB13" s="20">
        <v>6.0</v>
      </c>
      <c r="AC13" s="20">
        <v>60.0</v>
      </c>
    </row>
    <row r="14">
      <c r="A14" s="12" t="s">
        <v>45</v>
      </c>
      <c r="B14" s="29">
        <v>1.0</v>
      </c>
      <c r="C14" s="16" t="s">
        <v>20</v>
      </c>
      <c r="D14" s="16" t="s">
        <v>20</v>
      </c>
      <c r="E14" s="16" t="s">
        <v>20</v>
      </c>
      <c r="F14" s="16" t="s">
        <v>20</v>
      </c>
      <c r="G14" s="16" t="s">
        <v>20</v>
      </c>
      <c r="H14" s="16" t="s">
        <v>20</v>
      </c>
      <c r="I14" s="16" t="s">
        <v>20</v>
      </c>
      <c r="J14" s="16" t="s">
        <v>20</v>
      </c>
      <c r="K14" s="16" t="s">
        <v>28</v>
      </c>
      <c r="L14" s="16" t="s">
        <v>20</v>
      </c>
      <c r="M14" s="16" t="s">
        <v>20</v>
      </c>
      <c r="N14" s="13">
        <f t="shared" ref="N14:N18" si="3">COUNTIF(C14:M14, "קיים")</f>
        <v>10</v>
      </c>
      <c r="P14" s="19" t="s">
        <v>46</v>
      </c>
      <c r="Q14" s="20">
        <v>1.0</v>
      </c>
      <c r="R14" s="20">
        <v>1.0</v>
      </c>
      <c r="S14" s="20">
        <v>1.0</v>
      </c>
      <c r="T14" s="20">
        <v>1.0</v>
      </c>
      <c r="U14" s="20">
        <v>1.0</v>
      </c>
      <c r="V14" s="20">
        <v>0.0</v>
      </c>
      <c r="W14" s="20">
        <v>0.0</v>
      </c>
      <c r="X14" s="20">
        <v>1.0</v>
      </c>
      <c r="Y14" s="20">
        <v>1.0</v>
      </c>
      <c r="Z14" s="20">
        <v>1.0</v>
      </c>
      <c r="AA14" s="20">
        <v>0.0</v>
      </c>
      <c r="AB14" s="20">
        <v>1.0</v>
      </c>
      <c r="AC14" s="20">
        <v>8.0</v>
      </c>
    </row>
    <row r="15">
      <c r="A15" s="12" t="s">
        <v>47</v>
      </c>
      <c r="B15" s="29">
        <v>1.0</v>
      </c>
      <c r="C15" s="16" t="s">
        <v>20</v>
      </c>
      <c r="D15" s="16" t="s">
        <v>20</v>
      </c>
      <c r="E15" s="16" t="s">
        <v>20</v>
      </c>
      <c r="F15" s="16" t="s">
        <v>20</v>
      </c>
      <c r="G15" s="16" t="s">
        <v>20</v>
      </c>
      <c r="H15" s="16" t="s">
        <v>20</v>
      </c>
      <c r="I15" s="16" t="s">
        <v>28</v>
      </c>
      <c r="J15" s="16" t="s">
        <v>20</v>
      </c>
      <c r="K15" s="16" t="s">
        <v>20</v>
      </c>
      <c r="L15" s="16" t="s">
        <v>28</v>
      </c>
      <c r="M15" s="16" t="s">
        <v>20</v>
      </c>
      <c r="N15" s="13">
        <f t="shared" si="3"/>
        <v>9</v>
      </c>
      <c r="P15" s="19" t="s">
        <v>48</v>
      </c>
      <c r="Q15" s="20">
        <v>1.0</v>
      </c>
      <c r="R15" s="20">
        <v>0.0</v>
      </c>
      <c r="S15" s="20">
        <v>0.0</v>
      </c>
      <c r="T15" s="20">
        <v>0.0</v>
      </c>
      <c r="U15" s="20">
        <v>0.0</v>
      </c>
      <c r="V15" s="20">
        <v>0.0</v>
      </c>
      <c r="W15" s="20">
        <v>0.0</v>
      </c>
      <c r="X15" s="20">
        <v>0.0</v>
      </c>
      <c r="Y15" s="20">
        <v>1.0</v>
      </c>
      <c r="Z15" s="20">
        <v>0.0</v>
      </c>
      <c r="AA15" s="20">
        <v>0.0</v>
      </c>
      <c r="AB15" s="20">
        <v>1.0</v>
      </c>
      <c r="AC15" s="20">
        <v>2.0</v>
      </c>
    </row>
    <row r="16">
      <c r="A16" s="12" t="s">
        <v>49</v>
      </c>
      <c r="B16" s="29">
        <v>1.0</v>
      </c>
      <c r="C16" s="16" t="s">
        <v>24</v>
      </c>
      <c r="D16" s="16" t="s">
        <v>20</v>
      </c>
      <c r="E16" s="16" t="s">
        <v>20</v>
      </c>
      <c r="F16" s="16" t="s">
        <v>20</v>
      </c>
      <c r="G16" s="16" t="s">
        <v>20</v>
      </c>
      <c r="H16" s="16" t="s">
        <v>20</v>
      </c>
      <c r="I16" s="16" t="s">
        <v>20</v>
      </c>
      <c r="J16" s="16" t="s">
        <v>20</v>
      </c>
      <c r="K16" s="16" t="s">
        <v>20</v>
      </c>
      <c r="L16" s="16" t="s">
        <v>28</v>
      </c>
      <c r="M16" s="16" t="s">
        <v>20</v>
      </c>
      <c r="N16" s="13">
        <f t="shared" si="3"/>
        <v>9</v>
      </c>
    </row>
    <row r="17">
      <c r="A17" s="12" t="s">
        <v>50</v>
      </c>
      <c r="B17" s="29">
        <v>1.0</v>
      </c>
      <c r="C17" s="16" t="s">
        <v>20</v>
      </c>
      <c r="D17" s="16" t="s">
        <v>20</v>
      </c>
      <c r="E17" s="16" t="s">
        <v>20</v>
      </c>
      <c r="F17" s="16" t="s">
        <v>20</v>
      </c>
      <c r="G17" s="16" t="s">
        <v>20</v>
      </c>
      <c r="H17" s="16" t="s">
        <v>20</v>
      </c>
      <c r="I17" s="16" t="s">
        <v>20</v>
      </c>
      <c r="J17" s="16" t="s">
        <v>20</v>
      </c>
      <c r="K17" s="16" t="s">
        <v>20</v>
      </c>
      <c r="L17" s="16" t="s">
        <v>20</v>
      </c>
      <c r="M17" s="16" t="s">
        <v>20</v>
      </c>
      <c r="N17" s="13">
        <f t="shared" si="3"/>
        <v>11</v>
      </c>
    </row>
    <row r="18">
      <c r="A18" s="12" t="s">
        <v>51</v>
      </c>
      <c r="B18" s="29">
        <v>1.0</v>
      </c>
      <c r="C18" s="16" t="s">
        <v>20</v>
      </c>
      <c r="D18" s="16" t="s">
        <v>20</v>
      </c>
      <c r="E18" s="16" t="s">
        <v>20</v>
      </c>
      <c r="F18" s="16" t="s">
        <v>20</v>
      </c>
      <c r="G18" s="16" t="s">
        <v>20</v>
      </c>
      <c r="H18" s="16" t="s">
        <v>20</v>
      </c>
      <c r="I18" s="16" t="s">
        <v>20</v>
      </c>
      <c r="J18" s="16" t="s">
        <v>20</v>
      </c>
      <c r="K18" s="16" t="s">
        <v>20</v>
      </c>
      <c r="L18" s="16" t="s">
        <v>20</v>
      </c>
      <c r="M18" s="16" t="s">
        <v>20</v>
      </c>
      <c r="N18" s="13">
        <f t="shared" si="3"/>
        <v>11</v>
      </c>
      <c r="P18" s="1" t="s">
        <v>52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6"/>
    </row>
    <row r="19">
      <c r="A19" s="12" t="s">
        <v>167</v>
      </c>
      <c r="B19" s="29">
        <v>9.0</v>
      </c>
      <c r="C19" s="57" t="s">
        <v>20</v>
      </c>
      <c r="D19" s="21" t="s">
        <v>20</v>
      </c>
      <c r="E19" s="21" t="s">
        <v>20</v>
      </c>
      <c r="F19" s="16" t="s">
        <v>168</v>
      </c>
      <c r="G19" s="21" t="s">
        <v>20</v>
      </c>
      <c r="H19" s="16" t="s">
        <v>169</v>
      </c>
      <c r="I19" s="21" t="s">
        <v>20</v>
      </c>
      <c r="J19" s="21" t="s">
        <v>20</v>
      </c>
      <c r="K19" s="16" t="s">
        <v>170</v>
      </c>
      <c r="L19" s="21" t="s">
        <v>20</v>
      </c>
      <c r="M19" s="16" t="s">
        <v>168</v>
      </c>
      <c r="N19" s="13"/>
      <c r="P19" s="27"/>
      <c r="Q19" s="8" t="s">
        <v>17</v>
      </c>
      <c r="R19" s="8" t="s">
        <v>6</v>
      </c>
      <c r="S19" s="8" t="s">
        <v>7</v>
      </c>
      <c r="T19" s="8" t="s">
        <v>8</v>
      </c>
      <c r="U19" s="8" t="s">
        <v>9</v>
      </c>
      <c r="V19" s="8" t="s">
        <v>10</v>
      </c>
      <c r="W19" s="8" t="s">
        <v>11</v>
      </c>
      <c r="X19" s="8" t="s">
        <v>12</v>
      </c>
      <c r="Y19" s="8" t="s">
        <v>13</v>
      </c>
      <c r="Z19" s="8" t="s">
        <v>14</v>
      </c>
      <c r="AA19" s="8" t="s">
        <v>15</v>
      </c>
      <c r="AB19" s="8" t="s">
        <v>16</v>
      </c>
      <c r="AC19" s="8" t="s">
        <v>18</v>
      </c>
    </row>
    <row r="20">
      <c r="A20" s="28" t="s">
        <v>62</v>
      </c>
      <c r="B20" s="29">
        <v>1.0</v>
      </c>
      <c r="C20" s="16" t="s">
        <v>20</v>
      </c>
      <c r="D20" s="16" t="s">
        <v>20</v>
      </c>
      <c r="E20" s="16" t="s">
        <v>20</v>
      </c>
      <c r="F20" s="16" t="s">
        <v>20</v>
      </c>
      <c r="G20" s="16" t="s">
        <v>20</v>
      </c>
      <c r="H20" s="16" t="s">
        <v>20</v>
      </c>
      <c r="I20" s="16" t="s">
        <v>20</v>
      </c>
      <c r="J20" s="16" t="s">
        <v>20</v>
      </c>
      <c r="K20" s="16" t="s">
        <v>28</v>
      </c>
      <c r="L20" s="16" t="s">
        <v>20</v>
      </c>
      <c r="M20" s="16" t="s">
        <v>20</v>
      </c>
      <c r="N20" s="13">
        <f t="shared" ref="N20:N68" si="4">COUNTIF(C20:M20, "קיים")</f>
        <v>10</v>
      </c>
      <c r="P20" s="19" t="s">
        <v>63</v>
      </c>
      <c r="Q20" s="29">
        <v>2.0</v>
      </c>
      <c r="R20" s="29">
        <v>1.0</v>
      </c>
      <c r="S20" s="29">
        <v>2.0</v>
      </c>
      <c r="T20" s="29">
        <v>2.0</v>
      </c>
      <c r="U20" s="29">
        <v>1.0</v>
      </c>
      <c r="V20" s="29">
        <v>0.0</v>
      </c>
      <c r="W20" s="29">
        <v>2.0</v>
      </c>
      <c r="X20" s="29">
        <v>2.0</v>
      </c>
      <c r="Y20" s="29">
        <v>2.0</v>
      </c>
      <c r="Z20" s="29">
        <v>1.0</v>
      </c>
      <c r="AA20" s="29">
        <v>1.0</v>
      </c>
      <c r="AB20" s="29">
        <v>2.0</v>
      </c>
      <c r="AC20" s="11">
        <f>SUM(R20:AB20)</f>
        <v>16</v>
      </c>
    </row>
    <row r="21">
      <c r="A21" s="28" t="s">
        <v>64</v>
      </c>
      <c r="B21" s="29">
        <v>1.0</v>
      </c>
      <c r="C21" s="16" t="s">
        <v>20</v>
      </c>
      <c r="D21" s="16" t="s">
        <v>20</v>
      </c>
      <c r="E21" s="16" t="s">
        <v>20</v>
      </c>
      <c r="F21" s="16" t="s">
        <v>20</v>
      </c>
      <c r="G21" s="16" t="s">
        <v>20</v>
      </c>
      <c r="H21" s="16" t="s">
        <v>20</v>
      </c>
      <c r="I21" s="16" t="s">
        <v>20</v>
      </c>
      <c r="J21" s="16" t="s">
        <v>20</v>
      </c>
      <c r="K21" s="16" t="s">
        <v>20</v>
      </c>
      <c r="L21" s="16" t="s">
        <v>20</v>
      </c>
      <c r="M21" s="16" t="s">
        <v>20</v>
      </c>
      <c r="N21" s="13">
        <f t="shared" si="4"/>
        <v>11</v>
      </c>
      <c r="P21" s="19" t="s">
        <v>65</v>
      </c>
      <c r="Q21" s="29">
        <v>2.0</v>
      </c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11"/>
    </row>
    <row r="22">
      <c r="A22" s="28" t="s">
        <v>66</v>
      </c>
      <c r="B22" s="29">
        <v>1.0</v>
      </c>
      <c r="C22" s="16" t="s">
        <v>20</v>
      </c>
      <c r="D22" s="16" t="s">
        <v>20</v>
      </c>
      <c r="E22" s="16" t="s">
        <v>20</v>
      </c>
      <c r="F22" s="16" t="s">
        <v>20</v>
      </c>
      <c r="G22" s="16" t="s">
        <v>20</v>
      </c>
      <c r="H22" s="16" t="s">
        <v>20</v>
      </c>
      <c r="I22" s="16" t="s">
        <v>28</v>
      </c>
      <c r="J22" s="16" t="s">
        <v>20</v>
      </c>
      <c r="K22" s="16" t="s">
        <v>20</v>
      </c>
      <c r="L22" s="16" t="s">
        <v>20</v>
      </c>
      <c r="M22" s="16" t="s">
        <v>20</v>
      </c>
      <c r="N22" s="13">
        <f t="shared" si="4"/>
        <v>10</v>
      </c>
      <c r="P22" s="19" t="s">
        <v>67</v>
      </c>
      <c r="Q22" s="29">
        <v>2.0</v>
      </c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11"/>
    </row>
    <row r="23">
      <c r="A23" s="28" t="s">
        <v>68</v>
      </c>
      <c r="B23" s="29">
        <v>1.0</v>
      </c>
      <c r="C23" s="16" t="s">
        <v>20</v>
      </c>
      <c r="D23" s="16" t="s">
        <v>20</v>
      </c>
      <c r="E23" s="16" t="s">
        <v>20</v>
      </c>
      <c r="F23" s="16" t="s">
        <v>20</v>
      </c>
      <c r="G23" s="16" t="s">
        <v>20</v>
      </c>
      <c r="H23" s="16" t="s">
        <v>20</v>
      </c>
      <c r="I23" s="16" t="s">
        <v>20</v>
      </c>
      <c r="J23" s="16" t="s">
        <v>20</v>
      </c>
      <c r="K23" s="16" t="s">
        <v>20</v>
      </c>
      <c r="L23" s="16" t="s">
        <v>20</v>
      </c>
      <c r="M23" s="16" t="s">
        <v>20</v>
      </c>
      <c r="N23" s="13">
        <f t="shared" si="4"/>
        <v>11</v>
      </c>
      <c r="P23" s="19" t="s">
        <v>69</v>
      </c>
      <c r="Q23" s="29">
        <v>2.0</v>
      </c>
      <c r="R23" s="13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28" t="s">
        <v>70</v>
      </c>
      <c r="B24" s="29">
        <v>1.0</v>
      </c>
      <c r="C24" s="16" t="s">
        <v>20</v>
      </c>
      <c r="D24" s="16" t="s">
        <v>20</v>
      </c>
      <c r="E24" s="16" t="s">
        <v>20</v>
      </c>
      <c r="F24" s="16" t="s">
        <v>20</v>
      </c>
      <c r="G24" s="16" t="s">
        <v>20</v>
      </c>
      <c r="H24" s="16" t="s">
        <v>20</v>
      </c>
      <c r="I24" s="16" t="s">
        <v>20</v>
      </c>
      <c r="J24" s="16" t="s">
        <v>20</v>
      </c>
      <c r="K24" s="16" t="s">
        <v>20</v>
      </c>
      <c r="L24" s="16" t="s">
        <v>20</v>
      </c>
      <c r="M24" s="16" t="s">
        <v>20</v>
      </c>
      <c r="N24" s="13">
        <f t="shared" si="4"/>
        <v>11</v>
      </c>
      <c r="P24" s="19" t="s">
        <v>71</v>
      </c>
      <c r="Q24" s="29">
        <v>1.0</v>
      </c>
      <c r="R24" s="13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>
        <f>SUM(R24:AB24)</f>
        <v>0</v>
      </c>
    </row>
    <row r="25">
      <c r="A25" s="28" t="s">
        <v>72</v>
      </c>
      <c r="B25" s="29">
        <v>1.0</v>
      </c>
      <c r="C25" s="16" t="s">
        <v>20</v>
      </c>
      <c r="D25" s="16" t="s">
        <v>20</v>
      </c>
      <c r="E25" s="16" t="s">
        <v>20</v>
      </c>
      <c r="F25" s="16" t="s">
        <v>28</v>
      </c>
      <c r="G25" s="16" t="s">
        <v>20</v>
      </c>
      <c r="H25" s="16" t="s">
        <v>20</v>
      </c>
      <c r="I25" s="16" t="s">
        <v>20</v>
      </c>
      <c r="J25" s="16" t="s">
        <v>20</v>
      </c>
      <c r="K25" s="16" t="s">
        <v>28</v>
      </c>
      <c r="L25" s="16" t="s">
        <v>28</v>
      </c>
      <c r="M25" s="16" t="s">
        <v>20</v>
      </c>
      <c r="N25" s="13">
        <f t="shared" si="4"/>
        <v>8</v>
      </c>
      <c r="P25" s="30"/>
      <c r="Q25" s="31"/>
      <c r="R25" s="31"/>
      <c r="S25" s="31"/>
    </row>
    <row r="26">
      <c r="A26" s="28" t="s">
        <v>73</v>
      </c>
      <c r="B26" s="29">
        <v>1.0</v>
      </c>
      <c r="C26" s="16" t="s">
        <v>20</v>
      </c>
      <c r="D26" s="16" t="s">
        <v>20</v>
      </c>
      <c r="E26" s="16" t="s">
        <v>20</v>
      </c>
      <c r="F26" s="16" t="s">
        <v>20</v>
      </c>
      <c r="G26" s="16" t="s">
        <v>20</v>
      </c>
      <c r="H26" s="16" t="s">
        <v>20</v>
      </c>
      <c r="I26" s="16" t="s">
        <v>20</v>
      </c>
      <c r="J26" s="16" t="s">
        <v>20</v>
      </c>
      <c r="K26" s="16" t="s">
        <v>20</v>
      </c>
      <c r="L26" s="16" t="s">
        <v>20</v>
      </c>
      <c r="M26" s="16" t="s">
        <v>20</v>
      </c>
      <c r="N26" s="13">
        <f t="shared" si="4"/>
        <v>11</v>
      </c>
      <c r="P26" s="32" t="s">
        <v>74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>
      <c r="A27" s="28" t="s">
        <v>75</v>
      </c>
      <c r="B27" s="29">
        <v>1.0</v>
      </c>
      <c r="C27" s="16" t="s">
        <v>20</v>
      </c>
      <c r="D27" s="16" t="s">
        <v>20</v>
      </c>
      <c r="E27" s="16" t="s">
        <v>20</v>
      </c>
      <c r="F27" s="16" t="s">
        <v>20</v>
      </c>
      <c r="G27" s="16" t="s">
        <v>20</v>
      </c>
      <c r="H27" s="16" t="s">
        <v>20</v>
      </c>
      <c r="I27" s="16" t="s">
        <v>20</v>
      </c>
      <c r="J27" s="16" t="s">
        <v>20</v>
      </c>
      <c r="K27" s="16" t="s">
        <v>20</v>
      </c>
      <c r="L27" s="16" t="s">
        <v>20</v>
      </c>
      <c r="M27" s="16" t="s">
        <v>20</v>
      </c>
      <c r="N27" s="13">
        <f t="shared" si="4"/>
        <v>11</v>
      </c>
      <c r="P27" s="33"/>
      <c r="Q27" s="8" t="s">
        <v>17</v>
      </c>
      <c r="R27" s="8" t="s">
        <v>6</v>
      </c>
      <c r="S27" s="8" t="s">
        <v>7</v>
      </c>
      <c r="T27" s="8" t="s">
        <v>8</v>
      </c>
      <c r="U27" s="8" t="s">
        <v>9</v>
      </c>
      <c r="V27" s="8" t="s">
        <v>10</v>
      </c>
      <c r="W27" s="8" t="s">
        <v>11</v>
      </c>
      <c r="X27" s="8" t="s">
        <v>12</v>
      </c>
      <c r="Y27" s="8" t="s">
        <v>13</v>
      </c>
      <c r="Z27" s="8" t="s">
        <v>14</v>
      </c>
      <c r="AA27" s="8" t="s">
        <v>15</v>
      </c>
      <c r="AB27" s="8" t="s">
        <v>16</v>
      </c>
    </row>
    <row r="28">
      <c r="A28" s="28" t="s">
        <v>76</v>
      </c>
      <c r="B28" s="29">
        <v>1.0</v>
      </c>
      <c r="C28" s="16" t="s">
        <v>28</v>
      </c>
      <c r="D28" s="16" t="s">
        <v>28</v>
      </c>
      <c r="E28" s="16" t="s">
        <v>28</v>
      </c>
      <c r="F28" s="16" t="s">
        <v>28</v>
      </c>
      <c r="G28" s="16" t="s">
        <v>28</v>
      </c>
      <c r="H28" s="16" t="s">
        <v>28</v>
      </c>
      <c r="I28" s="16" t="s">
        <v>28</v>
      </c>
      <c r="J28" s="16" t="s">
        <v>28</v>
      </c>
      <c r="K28" s="16" t="s">
        <v>28</v>
      </c>
      <c r="L28" s="16" t="s">
        <v>28</v>
      </c>
      <c r="M28" s="16" t="s">
        <v>28</v>
      </c>
      <c r="N28" s="13">
        <f t="shared" si="4"/>
        <v>0</v>
      </c>
      <c r="P28" s="34" t="s">
        <v>77</v>
      </c>
      <c r="Q28" s="20">
        <v>1.0</v>
      </c>
      <c r="R28" s="20">
        <v>1.0</v>
      </c>
      <c r="S28" s="20">
        <v>1.0</v>
      </c>
      <c r="T28" s="20">
        <v>1.0</v>
      </c>
      <c r="U28" s="20">
        <v>1.0</v>
      </c>
      <c r="V28" s="20">
        <v>1.0</v>
      </c>
      <c r="W28" s="20">
        <v>1.0</v>
      </c>
      <c r="X28" s="20">
        <v>1.0</v>
      </c>
      <c r="Y28" s="20">
        <v>1.0</v>
      </c>
      <c r="Z28" s="20">
        <v>1.0</v>
      </c>
      <c r="AA28" s="20">
        <v>1.0</v>
      </c>
      <c r="AB28" s="20">
        <v>1.0</v>
      </c>
    </row>
    <row r="29">
      <c r="A29" s="28" t="s">
        <v>78</v>
      </c>
      <c r="B29" s="29">
        <v>1.0</v>
      </c>
      <c r="C29" s="16" t="s">
        <v>20</v>
      </c>
      <c r="D29" s="16" t="s">
        <v>24</v>
      </c>
      <c r="E29" s="16" t="s">
        <v>20</v>
      </c>
      <c r="F29" s="16" t="s">
        <v>20</v>
      </c>
      <c r="G29" s="16" t="s">
        <v>20</v>
      </c>
      <c r="H29" s="16" t="s">
        <v>20</v>
      </c>
      <c r="I29" s="16" t="s">
        <v>20</v>
      </c>
      <c r="J29" s="16" t="s">
        <v>20</v>
      </c>
      <c r="K29" s="16" t="s">
        <v>20</v>
      </c>
      <c r="L29" s="16" t="s">
        <v>20</v>
      </c>
      <c r="M29" s="16" t="s">
        <v>20</v>
      </c>
      <c r="N29" s="13">
        <f t="shared" si="4"/>
        <v>10</v>
      </c>
      <c r="P29" s="34" t="s">
        <v>79</v>
      </c>
      <c r="Q29" s="20">
        <v>5.0</v>
      </c>
      <c r="R29" s="20">
        <v>5.0</v>
      </c>
      <c r="S29" s="20">
        <v>5.0</v>
      </c>
      <c r="T29" s="20">
        <v>5.0</v>
      </c>
      <c r="U29" s="20">
        <v>5.0</v>
      </c>
      <c r="V29" s="20">
        <v>5.0</v>
      </c>
      <c r="W29" s="20">
        <v>5.0</v>
      </c>
      <c r="X29" s="20">
        <v>5.0</v>
      </c>
      <c r="Y29" s="20">
        <v>5.0</v>
      </c>
      <c r="Z29" s="20">
        <v>5.0</v>
      </c>
      <c r="AA29" s="20">
        <v>5.0</v>
      </c>
      <c r="AB29" s="20">
        <v>5.0</v>
      </c>
    </row>
    <row r="30">
      <c r="A30" s="28" t="s">
        <v>80</v>
      </c>
      <c r="B30" s="29">
        <v>1.0</v>
      </c>
      <c r="C30" s="16" t="s">
        <v>20</v>
      </c>
      <c r="D30" s="16" t="s">
        <v>20</v>
      </c>
      <c r="E30" s="16" t="s">
        <v>20</v>
      </c>
      <c r="F30" s="16" t="s">
        <v>20</v>
      </c>
      <c r="G30" s="16" t="s">
        <v>20</v>
      </c>
      <c r="H30" s="16" t="s">
        <v>20</v>
      </c>
      <c r="I30" s="16" t="s">
        <v>20</v>
      </c>
      <c r="J30" s="16" t="s">
        <v>20</v>
      </c>
      <c r="K30" s="16" t="s">
        <v>28</v>
      </c>
      <c r="L30" s="16" t="s">
        <v>20</v>
      </c>
      <c r="M30" s="16" t="s">
        <v>20</v>
      </c>
      <c r="N30" s="13">
        <f t="shared" si="4"/>
        <v>10</v>
      </c>
      <c r="P30" s="34" t="s">
        <v>81</v>
      </c>
      <c r="Q30" s="20">
        <v>5.0</v>
      </c>
      <c r="R30" s="20">
        <v>5.0</v>
      </c>
      <c r="S30" s="20">
        <v>5.0</v>
      </c>
      <c r="T30" s="20">
        <v>5.0</v>
      </c>
      <c r="U30" s="20">
        <v>5.0</v>
      </c>
      <c r="V30" s="20">
        <v>5.0</v>
      </c>
      <c r="W30" s="20">
        <v>5.0</v>
      </c>
      <c r="X30" s="20">
        <v>5.0</v>
      </c>
      <c r="Y30" s="20">
        <v>5.0</v>
      </c>
      <c r="Z30" s="20">
        <v>5.0</v>
      </c>
      <c r="AA30" s="20">
        <v>5.0</v>
      </c>
      <c r="AB30" s="20">
        <v>5.0</v>
      </c>
    </row>
    <row r="31">
      <c r="A31" s="28" t="s">
        <v>82</v>
      </c>
      <c r="B31" s="29">
        <v>1.0</v>
      </c>
      <c r="C31" s="16" t="s">
        <v>20</v>
      </c>
      <c r="D31" s="16" t="s">
        <v>20</v>
      </c>
      <c r="E31" s="16" t="s">
        <v>20</v>
      </c>
      <c r="F31" s="16" t="s">
        <v>28</v>
      </c>
      <c r="G31" s="16" t="s">
        <v>20</v>
      </c>
      <c r="H31" s="16" t="s">
        <v>20</v>
      </c>
      <c r="I31" s="16" t="s">
        <v>20</v>
      </c>
      <c r="J31" s="16" t="s">
        <v>20</v>
      </c>
      <c r="K31" s="16" t="s">
        <v>28</v>
      </c>
      <c r="L31" s="16" t="s">
        <v>20</v>
      </c>
      <c r="M31" s="16" t="s">
        <v>20</v>
      </c>
      <c r="N31" s="13">
        <f t="shared" si="4"/>
        <v>9</v>
      </c>
      <c r="P31" s="34" t="s">
        <v>83</v>
      </c>
      <c r="Q31" s="20">
        <v>1.0</v>
      </c>
      <c r="R31" s="20">
        <v>1.0</v>
      </c>
      <c r="S31" s="20">
        <v>1.0</v>
      </c>
      <c r="T31" s="20">
        <v>1.0</v>
      </c>
      <c r="U31" s="20">
        <v>1.0</v>
      </c>
      <c r="V31" s="20">
        <v>1.0</v>
      </c>
      <c r="W31" s="20">
        <v>1.0</v>
      </c>
      <c r="X31" s="20">
        <v>1.0</v>
      </c>
      <c r="Y31" s="20">
        <v>1.0</v>
      </c>
      <c r="Z31" s="20">
        <v>1.0</v>
      </c>
      <c r="AA31" s="20">
        <v>1.0</v>
      </c>
      <c r="AB31" s="20">
        <v>1.0</v>
      </c>
    </row>
    <row r="32">
      <c r="A32" s="28" t="s">
        <v>84</v>
      </c>
      <c r="B32" s="29">
        <v>1.0</v>
      </c>
      <c r="C32" s="16" t="s">
        <v>20</v>
      </c>
      <c r="D32" s="16" t="s">
        <v>20</v>
      </c>
      <c r="E32" s="16" t="s">
        <v>20</v>
      </c>
      <c r="F32" s="16" t="s">
        <v>28</v>
      </c>
      <c r="G32" s="16" t="s">
        <v>28</v>
      </c>
      <c r="H32" s="16" t="s">
        <v>28</v>
      </c>
      <c r="I32" s="16" t="s">
        <v>20</v>
      </c>
      <c r="J32" s="16" t="s">
        <v>20</v>
      </c>
      <c r="K32" s="16" t="s">
        <v>28</v>
      </c>
      <c r="L32" s="16" t="s">
        <v>20</v>
      </c>
      <c r="M32" s="16" t="s">
        <v>28</v>
      </c>
      <c r="N32" s="13">
        <f t="shared" si="4"/>
        <v>6</v>
      </c>
      <c r="P32" s="34" t="s">
        <v>85</v>
      </c>
      <c r="Q32" s="20">
        <v>1.0</v>
      </c>
      <c r="R32" s="20">
        <v>1.0</v>
      </c>
      <c r="S32" s="20">
        <v>1.0</v>
      </c>
      <c r="T32" s="20">
        <v>1.0</v>
      </c>
      <c r="U32" s="20">
        <v>1.0</v>
      </c>
      <c r="V32" s="20">
        <v>1.0</v>
      </c>
      <c r="W32" s="20">
        <v>1.0</v>
      </c>
      <c r="X32" s="20">
        <v>1.0</v>
      </c>
      <c r="Y32" s="20">
        <v>1.0</v>
      </c>
      <c r="Z32" s="20">
        <v>1.0</v>
      </c>
      <c r="AA32" s="20">
        <v>1.0</v>
      </c>
      <c r="AB32" s="20">
        <v>1.0</v>
      </c>
    </row>
    <row r="33">
      <c r="A33" s="28" t="s">
        <v>86</v>
      </c>
      <c r="B33" s="29">
        <v>1.0</v>
      </c>
      <c r="C33" s="16" t="s">
        <v>20</v>
      </c>
      <c r="D33" s="16" t="s">
        <v>20</v>
      </c>
      <c r="E33" s="16" t="s">
        <v>20</v>
      </c>
      <c r="F33" s="16" t="s">
        <v>28</v>
      </c>
      <c r="G33" s="16" t="s">
        <v>20</v>
      </c>
      <c r="H33" s="16" t="s">
        <v>20</v>
      </c>
      <c r="I33" s="16" t="s">
        <v>20</v>
      </c>
      <c r="J33" s="16" t="s">
        <v>20</v>
      </c>
      <c r="K33" s="16" t="s">
        <v>20</v>
      </c>
      <c r="L33" s="16" t="s">
        <v>20</v>
      </c>
      <c r="M33" s="16" t="s">
        <v>28</v>
      </c>
      <c r="N33" s="13">
        <f t="shared" si="4"/>
        <v>9</v>
      </c>
      <c r="P33" s="34" t="s">
        <v>87</v>
      </c>
      <c r="Q33" s="20">
        <v>1.0</v>
      </c>
      <c r="R33" s="20">
        <v>1.0</v>
      </c>
      <c r="S33" s="20">
        <v>1.0</v>
      </c>
      <c r="T33" s="20">
        <v>1.0</v>
      </c>
      <c r="U33" s="20">
        <v>1.0</v>
      </c>
      <c r="V33" s="20">
        <v>1.0</v>
      </c>
      <c r="W33" s="20">
        <v>1.0</v>
      </c>
      <c r="X33" s="20">
        <v>1.0</v>
      </c>
      <c r="Y33" s="20">
        <v>1.0</v>
      </c>
      <c r="Z33" s="20">
        <v>1.0</v>
      </c>
      <c r="AA33" s="20">
        <v>1.0</v>
      </c>
      <c r="AB33" s="20">
        <v>1.0</v>
      </c>
    </row>
    <row r="34">
      <c r="A34" s="28" t="s">
        <v>88</v>
      </c>
      <c r="B34" s="29">
        <v>1.0</v>
      </c>
      <c r="C34" s="16" t="s">
        <v>20</v>
      </c>
      <c r="D34" s="16" t="s">
        <v>20</v>
      </c>
      <c r="E34" s="16" t="s">
        <v>20</v>
      </c>
      <c r="F34" s="16" t="s">
        <v>24</v>
      </c>
      <c r="G34" s="16" t="s">
        <v>20</v>
      </c>
      <c r="H34" s="16" t="s">
        <v>20</v>
      </c>
      <c r="I34" s="16" t="s">
        <v>20</v>
      </c>
      <c r="J34" s="16" t="s">
        <v>20</v>
      </c>
      <c r="K34" s="16" t="s">
        <v>20</v>
      </c>
      <c r="L34" s="16" t="s">
        <v>28</v>
      </c>
      <c r="M34" s="16" t="s">
        <v>20</v>
      </c>
      <c r="N34" s="13">
        <f t="shared" si="4"/>
        <v>9</v>
      </c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>
      <c r="A35" s="28" t="s">
        <v>89</v>
      </c>
      <c r="B35" s="29">
        <v>1.0</v>
      </c>
      <c r="C35" s="16" t="s">
        <v>20</v>
      </c>
      <c r="D35" s="16" t="s">
        <v>20</v>
      </c>
      <c r="E35" s="16" t="s">
        <v>20</v>
      </c>
      <c r="F35" s="16" t="s">
        <v>20</v>
      </c>
      <c r="G35" s="16" t="s">
        <v>20</v>
      </c>
      <c r="H35" s="16" t="s">
        <v>20</v>
      </c>
      <c r="I35" s="16" t="s">
        <v>20</v>
      </c>
      <c r="J35" s="16" t="s">
        <v>20</v>
      </c>
      <c r="K35" s="16" t="s">
        <v>28</v>
      </c>
      <c r="L35" s="16" t="s">
        <v>28</v>
      </c>
      <c r="M35" s="16" t="s">
        <v>28</v>
      </c>
      <c r="N35" s="13">
        <f t="shared" si="4"/>
        <v>8</v>
      </c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>
      <c r="A36" s="28" t="s">
        <v>90</v>
      </c>
      <c r="B36" s="29">
        <v>1.0</v>
      </c>
      <c r="C36" s="16" t="s">
        <v>20</v>
      </c>
      <c r="D36" s="16" t="s">
        <v>20</v>
      </c>
      <c r="E36" s="16" t="s">
        <v>20</v>
      </c>
      <c r="F36" s="16" t="s">
        <v>20</v>
      </c>
      <c r="G36" s="16" t="s">
        <v>20</v>
      </c>
      <c r="H36" s="16" t="s">
        <v>20</v>
      </c>
      <c r="I36" s="16" t="s">
        <v>20</v>
      </c>
      <c r="J36" s="16" t="s">
        <v>20</v>
      </c>
      <c r="K36" s="16" t="s">
        <v>20</v>
      </c>
      <c r="L36" s="16" t="s">
        <v>28</v>
      </c>
      <c r="M36" s="16" t="s">
        <v>20</v>
      </c>
      <c r="N36" s="13">
        <f t="shared" si="4"/>
        <v>10</v>
      </c>
      <c r="P36" s="4" t="s">
        <v>91</v>
      </c>
      <c r="Q36" s="5"/>
      <c r="R36" s="5"/>
      <c r="S36" s="6"/>
      <c r="W36" s="4" t="s">
        <v>92</v>
      </c>
      <c r="X36" s="5"/>
      <c r="Y36" s="6"/>
      <c r="AA36" s="35"/>
    </row>
    <row r="37">
      <c r="A37" s="28" t="s">
        <v>93</v>
      </c>
      <c r="B37" s="29">
        <v>1.0</v>
      </c>
      <c r="C37" s="16" t="s">
        <v>20</v>
      </c>
      <c r="D37" s="16" t="s">
        <v>28</v>
      </c>
      <c r="E37" s="16" t="s">
        <v>20</v>
      </c>
      <c r="F37" s="16" t="s">
        <v>20</v>
      </c>
      <c r="G37" s="16" t="s">
        <v>20</v>
      </c>
      <c r="H37" s="16" t="s">
        <v>20</v>
      </c>
      <c r="I37" s="16" t="s">
        <v>20</v>
      </c>
      <c r="J37" s="16" t="s">
        <v>20</v>
      </c>
      <c r="K37" s="16" t="s">
        <v>20</v>
      </c>
      <c r="L37" s="16" t="s">
        <v>20</v>
      </c>
      <c r="M37" s="16" t="s">
        <v>20</v>
      </c>
      <c r="N37" s="13">
        <f t="shared" si="4"/>
        <v>10</v>
      </c>
      <c r="P37" s="27" t="s">
        <v>94</v>
      </c>
      <c r="Q37" s="27" t="s">
        <v>95</v>
      </c>
      <c r="R37" s="27" t="s">
        <v>96</v>
      </c>
      <c r="S37" s="27" t="s">
        <v>97</v>
      </c>
      <c r="W37" s="27" t="s">
        <v>98</v>
      </c>
      <c r="X37" s="27" t="s">
        <v>96</v>
      </c>
      <c r="Y37" s="27" t="s">
        <v>99</v>
      </c>
      <c r="AA37" s="35"/>
    </row>
    <row r="38">
      <c r="A38" s="28" t="s">
        <v>100</v>
      </c>
      <c r="B38" s="29">
        <v>1.0</v>
      </c>
      <c r="C38" s="16" t="s">
        <v>20</v>
      </c>
      <c r="D38" s="16" t="s">
        <v>20</v>
      </c>
      <c r="E38" s="16" t="s">
        <v>20</v>
      </c>
      <c r="F38" s="16" t="s">
        <v>20</v>
      </c>
      <c r="G38" s="16" t="s">
        <v>20</v>
      </c>
      <c r="H38" s="16" t="s">
        <v>20</v>
      </c>
      <c r="I38" s="16" t="s">
        <v>20</v>
      </c>
      <c r="J38" s="16" t="s">
        <v>20</v>
      </c>
      <c r="K38" s="16" t="s">
        <v>20</v>
      </c>
      <c r="L38" s="16" t="s">
        <v>20</v>
      </c>
      <c r="M38" s="16" t="s">
        <v>20</v>
      </c>
      <c r="N38" s="13">
        <f t="shared" si="4"/>
        <v>11</v>
      </c>
      <c r="P38" s="19" t="s">
        <v>101</v>
      </c>
      <c r="Q38" s="20">
        <v>493491.0</v>
      </c>
      <c r="R38" s="36" t="s">
        <v>102</v>
      </c>
      <c r="S38" s="36" t="s">
        <v>103</v>
      </c>
      <c r="W38" s="19" t="s">
        <v>104</v>
      </c>
      <c r="X38" s="37" t="s">
        <v>105</v>
      </c>
      <c r="Y38" s="38">
        <v>46235.0</v>
      </c>
      <c r="AA38" s="35"/>
    </row>
    <row r="39">
      <c r="A39" s="28" t="s">
        <v>106</v>
      </c>
      <c r="B39" s="29">
        <v>1.0</v>
      </c>
      <c r="C39" s="16" t="s">
        <v>20</v>
      </c>
      <c r="D39" s="16" t="s">
        <v>20</v>
      </c>
      <c r="E39" s="16" t="s">
        <v>20</v>
      </c>
      <c r="F39" s="16" t="s">
        <v>20</v>
      </c>
      <c r="G39" s="16" t="s">
        <v>20</v>
      </c>
      <c r="H39" s="16" t="s">
        <v>20</v>
      </c>
      <c r="I39" s="16" t="s">
        <v>20</v>
      </c>
      <c r="J39" s="16" t="s">
        <v>20</v>
      </c>
      <c r="K39" s="16" t="s">
        <v>20</v>
      </c>
      <c r="L39" s="16" t="s">
        <v>20</v>
      </c>
      <c r="M39" s="16" t="s">
        <v>28</v>
      </c>
      <c r="N39" s="13">
        <f t="shared" si="4"/>
        <v>10</v>
      </c>
      <c r="P39" s="19" t="s">
        <v>101</v>
      </c>
      <c r="Q39" s="20">
        <v>802807.0</v>
      </c>
      <c r="R39" s="36" t="s">
        <v>107</v>
      </c>
      <c r="S39" s="36" t="s">
        <v>103</v>
      </c>
      <c r="W39" s="19" t="s">
        <v>108</v>
      </c>
      <c r="X39" s="37" t="s">
        <v>105</v>
      </c>
      <c r="Y39" s="38">
        <v>46236.0</v>
      </c>
      <c r="AA39" s="35"/>
    </row>
    <row r="40">
      <c r="A40" s="28" t="s">
        <v>109</v>
      </c>
      <c r="B40" s="29">
        <v>1.0</v>
      </c>
      <c r="C40" s="16" t="s">
        <v>20</v>
      </c>
      <c r="D40" s="16" t="s">
        <v>20</v>
      </c>
      <c r="E40" s="16" t="s">
        <v>20</v>
      </c>
      <c r="F40" s="16" t="s">
        <v>24</v>
      </c>
      <c r="G40" s="16" t="s">
        <v>20</v>
      </c>
      <c r="H40" s="16" t="s">
        <v>20</v>
      </c>
      <c r="I40" s="16" t="s">
        <v>20</v>
      </c>
      <c r="J40" s="16" t="s">
        <v>20</v>
      </c>
      <c r="K40" s="16" t="s">
        <v>20</v>
      </c>
      <c r="L40" s="16" t="s">
        <v>20</v>
      </c>
      <c r="M40" s="16" t="s">
        <v>20</v>
      </c>
      <c r="N40" s="13">
        <f t="shared" si="4"/>
        <v>10</v>
      </c>
      <c r="P40" s="19" t="s">
        <v>101</v>
      </c>
      <c r="Q40" s="20">
        <v>808007.0</v>
      </c>
      <c r="R40" s="36" t="s">
        <v>110</v>
      </c>
      <c r="S40" s="36" t="s">
        <v>103</v>
      </c>
      <c r="AA40" s="35"/>
    </row>
    <row r="41">
      <c r="A41" s="28" t="s">
        <v>111</v>
      </c>
      <c r="B41" s="29">
        <v>1.0</v>
      </c>
      <c r="C41" s="16" t="s">
        <v>20</v>
      </c>
      <c r="D41" s="16" t="s">
        <v>20</v>
      </c>
      <c r="E41" s="16" t="s">
        <v>20</v>
      </c>
      <c r="F41" s="16" t="s">
        <v>20</v>
      </c>
      <c r="G41" s="16" t="s">
        <v>20</v>
      </c>
      <c r="H41" s="16" t="s">
        <v>20</v>
      </c>
      <c r="I41" s="16" t="s">
        <v>20</v>
      </c>
      <c r="J41" s="16" t="s">
        <v>20</v>
      </c>
      <c r="K41" s="16" t="s">
        <v>20</v>
      </c>
      <c r="L41" s="16" t="s">
        <v>20</v>
      </c>
      <c r="M41" s="16" t="s">
        <v>20</v>
      </c>
      <c r="N41" s="13">
        <f t="shared" si="4"/>
        <v>11</v>
      </c>
      <c r="P41" s="19" t="s">
        <v>101</v>
      </c>
      <c r="Q41" s="20">
        <v>801775.0</v>
      </c>
      <c r="R41" s="36" t="s">
        <v>112</v>
      </c>
      <c r="S41" s="36" t="s">
        <v>103</v>
      </c>
      <c r="AA41" s="35"/>
    </row>
    <row r="42">
      <c r="A42" s="28" t="s">
        <v>113</v>
      </c>
      <c r="B42" s="29">
        <v>1.0</v>
      </c>
      <c r="C42" s="16" t="s">
        <v>20</v>
      </c>
      <c r="D42" s="16" t="s">
        <v>20</v>
      </c>
      <c r="E42" s="16" t="s">
        <v>20</v>
      </c>
      <c r="F42" s="16" t="s">
        <v>20</v>
      </c>
      <c r="G42" s="16" t="s">
        <v>20</v>
      </c>
      <c r="H42" s="16" t="s">
        <v>24</v>
      </c>
      <c r="I42" s="16" t="s">
        <v>20</v>
      </c>
      <c r="J42" s="16" t="s">
        <v>20</v>
      </c>
      <c r="K42" s="16" t="s">
        <v>20</v>
      </c>
      <c r="L42" s="16" t="s">
        <v>24</v>
      </c>
      <c r="M42" s="16" t="s">
        <v>20</v>
      </c>
      <c r="N42" s="13">
        <f t="shared" si="4"/>
        <v>9</v>
      </c>
      <c r="P42" s="19" t="s">
        <v>101</v>
      </c>
      <c r="Q42" s="20">
        <v>802541.0</v>
      </c>
      <c r="R42" s="36" t="s">
        <v>114</v>
      </c>
      <c r="S42" s="36" t="s">
        <v>103</v>
      </c>
    </row>
    <row r="43">
      <c r="A43" s="28" t="s">
        <v>115</v>
      </c>
      <c r="B43" s="29">
        <v>1.0</v>
      </c>
      <c r="C43" s="16" t="s">
        <v>20</v>
      </c>
      <c r="D43" s="16" t="s">
        <v>20</v>
      </c>
      <c r="E43" s="16" t="s">
        <v>20</v>
      </c>
      <c r="F43" s="16" t="s">
        <v>20</v>
      </c>
      <c r="G43" s="16" t="s">
        <v>28</v>
      </c>
      <c r="H43" s="16" t="s">
        <v>28</v>
      </c>
      <c r="I43" s="16" t="s">
        <v>20</v>
      </c>
      <c r="J43" s="16" t="s">
        <v>28</v>
      </c>
      <c r="K43" s="16" t="s">
        <v>20</v>
      </c>
      <c r="L43" s="16" t="s">
        <v>28</v>
      </c>
      <c r="M43" s="16" t="s">
        <v>24</v>
      </c>
      <c r="N43" s="13">
        <f t="shared" si="4"/>
        <v>6</v>
      </c>
      <c r="P43" s="19" t="s">
        <v>101</v>
      </c>
      <c r="Q43" s="20">
        <v>489643.0</v>
      </c>
      <c r="R43" s="36" t="s">
        <v>116</v>
      </c>
      <c r="S43" s="36" t="s">
        <v>103</v>
      </c>
    </row>
    <row r="44">
      <c r="A44" s="28" t="s">
        <v>117</v>
      </c>
      <c r="B44" s="29">
        <v>1.0</v>
      </c>
      <c r="C44" s="16" t="s">
        <v>20</v>
      </c>
      <c r="D44" s="16" t="s">
        <v>20</v>
      </c>
      <c r="E44" s="16" t="s">
        <v>20</v>
      </c>
      <c r="F44" s="16" t="s">
        <v>20</v>
      </c>
      <c r="G44" s="16" t="s">
        <v>24</v>
      </c>
      <c r="H44" s="16" t="s">
        <v>20</v>
      </c>
      <c r="I44" s="16" t="s">
        <v>20</v>
      </c>
      <c r="J44" s="16" t="s">
        <v>20</v>
      </c>
      <c r="K44" s="16" t="s">
        <v>20</v>
      </c>
      <c r="L44" s="16" t="s">
        <v>20</v>
      </c>
      <c r="M44" s="16" t="s">
        <v>20</v>
      </c>
      <c r="N44" s="13">
        <f t="shared" si="4"/>
        <v>10</v>
      </c>
      <c r="P44" s="19" t="s">
        <v>118</v>
      </c>
      <c r="Q44" s="11"/>
      <c r="R44" s="36" t="s">
        <v>119</v>
      </c>
      <c r="S44" s="36" t="s">
        <v>103</v>
      </c>
    </row>
    <row r="45">
      <c r="A45" s="28" t="s">
        <v>120</v>
      </c>
      <c r="B45" s="29">
        <v>1.0</v>
      </c>
      <c r="C45" s="16" t="s">
        <v>20</v>
      </c>
      <c r="D45" s="16" t="s">
        <v>28</v>
      </c>
      <c r="E45" s="16" t="s">
        <v>20</v>
      </c>
      <c r="F45" s="16" t="s">
        <v>20</v>
      </c>
      <c r="G45" s="16" t="s">
        <v>20</v>
      </c>
      <c r="H45" s="16" t="s">
        <v>20</v>
      </c>
      <c r="I45" s="16" t="s">
        <v>20</v>
      </c>
      <c r="J45" s="16" t="s">
        <v>20</v>
      </c>
      <c r="K45" s="16" t="s">
        <v>20</v>
      </c>
      <c r="L45" s="16" t="s">
        <v>20</v>
      </c>
      <c r="M45" s="16" t="s">
        <v>20</v>
      </c>
      <c r="N45" s="13">
        <f t="shared" si="4"/>
        <v>10</v>
      </c>
      <c r="P45" s="19" t="s">
        <v>118</v>
      </c>
      <c r="Q45" s="11"/>
      <c r="R45" s="36" t="s">
        <v>121</v>
      </c>
      <c r="S45" s="36" t="s">
        <v>103</v>
      </c>
    </row>
    <row r="46">
      <c r="A46" s="28" t="s">
        <v>122</v>
      </c>
      <c r="B46" s="29">
        <v>1.0</v>
      </c>
      <c r="C46" s="16" t="s">
        <v>20</v>
      </c>
      <c r="D46" s="16" t="s">
        <v>20</v>
      </c>
      <c r="E46" s="16" t="s">
        <v>20</v>
      </c>
      <c r="F46" s="16" t="s">
        <v>20</v>
      </c>
      <c r="G46" s="16" t="s">
        <v>20</v>
      </c>
      <c r="H46" s="16" t="s">
        <v>20</v>
      </c>
      <c r="I46" s="16" t="s">
        <v>20</v>
      </c>
      <c r="J46" s="16" t="s">
        <v>20</v>
      </c>
      <c r="K46" s="16" t="s">
        <v>20</v>
      </c>
      <c r="L46" s="16" t="s">
        <v>28</v>
      </c>
      <c r="M46" s="16" t="s">
        <v>20</v>
      </c>
      <c r="N46" s="13">
        <f t="shared" si="4"/>
        <v>10</v>
      </c>
      <c r="P46" s="19" t="s">
        <v>118</v>
      </c>
      <c r="Q46" s="11"/>
      <c r="R46" s="36" t="s">
        <v>123</v>
      </c>
      <c r="S46" s="36" t="s">
        <v>103</v>
      </c>
    </row>
    <row r="47">
      <c r="A47" s="28" t="s">
        <v>124</v>
      </c>
      <c r="B47" s="29">
        <v>1.0</v>
      </c>
      <c r="C47" s="16" t="s">
        <v>20</v>
      </c>
      <c r="D47" s="16" t="s">
        <v>20</v>
      </c>
      <c r="E47" s="16" t="s">
        <v>20</v>
      </c>
      <c r="F47" s="16" t="s">
        <v>20</v>
      </c>
      <c r="G47" s="16" t="s">
        <v>20</v>
      </c>
      <c r="H47" s="16" t="s">
        <v>20</v>
      </c>
      <c r="I47" s="16" t="s">
        <v>20</v>
      </c>
      <c r="J47" s="16" t="s">
        <v>20</v>
      </c>
      <c r="K47" s="16" t="s">
        <v>20</v>
      </c>
      <c r="L47" s="16" t="s">
        <v>20</v>
      </c>
      <c r="M47" s="16" t="s">
        <v>20</v>
      </c>
      <c r="N47" s="13">
        <f t="shared" si="4"/>
        <v>11</v>
      </c>
      <c r="P47" s="19" t="s">
        <v>118</v>
      </c>
      <c r="Q47" s="11"/>
      <c r="R47" s="11"/>
      <c r="S47" s="36" t="s">
        <v>125</v>
      </c>
    </row>
    <row r="48">
      <c r="A48" s="28" t="s">
        <v>126</v>
      </c>
      <c r="B48" s="29">
        <v>1.0</v>
      </c>
      <c r="C48" s="16" t="s">
        <v>20</v>
      </c>
      <c r="D48" s="16" t="s">
        <v>20</v>
      </c>
      <c r="E48" s="16" t="s">
        <v>20</v>
      </c>
      <c r="F48" s="16" t="s">
        <v>20</v>
      </c>
      <c r="G48" s="16" t="s">
        <v>20</v>
      </c>
      <c r="H48" s="16" t="s">
        <v>20</v>
      </c>
      <c r="I48" s="16" t="s">
        <v>20</v>
      </c>
      <c r="J48" s="16" t="s">
        <v>20</v>
      </c>
      <c r="K48" s="16" t="s">
        <v>20</v>
      </c>
      <c r="L48" s="16" t="s">
        <v>20</v>
      </c>
      <c r="M48" s="16" t="s">
        <v>20</v>
      </c>
      <c r="N48" s="13">
        <f t="shared" si="4"/>
        <v>11</v>
      </c>
    </row>
    <row r="49">
      <c r="A49" s="28" t="s">
        <v>127</v>
      </c>
      <c r="B49" s="29">
        <v>1.0</v>
      </c>
      <c r="C49" s="16" t="s">
        <v>20</v>
      </c>
      <c r="D49" s="16" t="s">
        <v>20</v>
      </c>
      <c r="E49" s="16" t="s">
        <v>20</v>
      </c>
      <c r="F49" s="16" t="s">
        <v>20</v>
      </c>
      <c r="G49" s="16" t="s">
        <v>20</v>
      </c>
      <c r="H49" s="16" t="s">
        <v>20</v>
      </c>
      <c r="I49" s="16" t="s">
        <v>20</v>
      </c>
      <c r="J49" s="16" t="s">
        <v>20</v>
      </c>
      <c r="K49" s="16" t="s">
        <v>20</v>
      </c>
      <c r="L49" s="16" t="s">
        <v>20</v>
      </c>
      <c r="M49" s="16" t="s">
        <v>20</v>
      </c>
      <c r="N49" s="13">
        <f t="shared" si="4"/>
        <v>11</v>
      </c>
    </row>
    <row r="50">
      <c r="A50" s="28" t="s">
        <v>128</v>
      </c>
      <c r="B50" s="29">
        <v>1.0</v>
      </c>
      <c r="C50" s="16" t="s">
        <v>20</v>
      </c>
      <c r="D50" s="16" t="s">
        <v>20</v>
      </c>
      <c r="E50" s="16" t="s">
        <v>20</v>
      </c>
      <c r="F50" s="16" t="s">
        <v>20</v>
      </c>
      <c r="G50" s="16" t="s">
        <v>20</v>
      </c>
      <c r="H50" s="16" t="s">
        <v>20</v>
      </c>
      <c r="I50" s="16" t="s">
        <v>20</v>
      </c>
      <c r="J50" s="16" t="s">
        <v>20</v>
      </c>
      <c r="K50" s="16" t="s">
        <v>28</v>
      </c>
      <c r="L50" s="16" t="s">
        <v>20</v>
      </c>
      <c r="M50" s="16" t="s">
        <v>20</v>
      </c>
      <c r="N50" s="13">
        <f t="shared" si="4"/>
        <v>10</v>
      </c>
    </row>
    <row r="51">
      <c r="A51" s="28" t="s">
        <v>129</v>
      </c>
      <c r="B51" s="29">
        <v>1.0</v>
      </c>
      <c r="C51" s="16" t="s">
        <v>20</v>
      </c>
      <c r="D51" s="16" t="s">
        <v>20</v>
      </c>
      <c r="E51" s="16" t="s">
        <v>20</v>
      </c>
      <c r="F51" s="16" t="s">
        <v>20</v>
      </c>
      <c r="G51" s="16" t="s">
        <v>28</v>
      </c>
      <c r="H51" s="16" t="s">
        <v>20</v>
      </c>
      <c r="I51" s="16" t="s">
        <v>20</v>
      </c>
      <c r="J51" s="16" t="s">
        <v>20</v>
      </c>
      <c r="K51" s="16" t="s">
        <v>28</v>
      </c>
      <c r="L51" s="16" t="s">
        <v>28</v>
      </c>
      <c r="M51" s="16" t="s">
        <v>20</v>
      </c>
      <c r="N51" s="13">
        <f t="shared" si="4"/>
        <v>8</v>
      </c>
    </row>
    <row r="52">
      <c r="A52" s="28" t="s">
        <v>130</v>
      </c>
      <c r="B52" s="29">
        <v>1.0</v>
      </c>
      <c r="C52" s="16" t="s">
        <v>20</v>
      </c>
      <c r="D52" s="16" t="s">
        <v>20</v>
      </c>
      <c r="E52" s="16" t="s">
        <v>20</v>
      </c>
      <c r="F52" s="16" t="s">
        <v>20</v>
      </c>
      <c r="G52" s="16" t="s">
        <v>20</v>
      </c>
      <c r="H52" s="16" t="s">
        <v>20</v>
      </c>
      <c r="I52" s="16" t="s">
        <v>20</v>
      </c>
      <c r="J52" s="16" t="s">
        <v>20</v>
      </c>
      <c r="K52" s="16" t="s">
        <v>28</v>
      </c>
      <c r="L52" s="16" t="s">
        <v>28</v>
      </c>
      <c r="M52" s="16" t="s">
        <v>20</v>
      </c>
      <c r="N52" s="13">
        <f t="shared" si="4"/>
        <v>9</v>
      </c>
    </row>
    <row r="53">
      <c r="A53" s="28" t="s">
        <v>131</v>
      </c>
      <c r="B53" s="29">
        <v>1.0</v>
      </c>
      <c r="C53" s="16" t="s">
        <v>20</v>
      </c>
      <c r="D53" s="16" t="s">
        <v>24</v>
      </c>
      <c r="E53" s="16" t="s">
        <v>20</v>
      </c>
      <c r="F53" s="16" t="s">
        <v>20</v>
      </c>
      <c r="G53" s="16" t="s">
        <v>20</v>
      </c>
      <c r="H53" s="16" t="s">
        <v>20</v>
      </c>
      <c r="I53" s="16" t="s">
        <v>20</v>
      </c>
      <c r="J53" s="16" t="s">
        <v>20</v>
      </c>
      <c r="K53" s="16" t="s">
        <v>20</v>
      </c>
      <c r="L53" s="16" t="s">
        <v>20</v>
      </c>
      <c r="M53" s="16" t="s">
        <v>20</v>
      </c>
      <c r="N53" s="13">
        <f t="shared" si="4"/>
        <v>10</v>
      </c>
    </row>
    <row r="54">
      <c r="A54" s="28" t="s">
        <v>132</v>
      </c>
      <c r="B54" s="29">
        <v>1.0</v>
      </c>
      <c r="C54" s="16" t="s">
        <v>20</v>
      </c>
      <c r="D54" s="16" t="s">
        <v>20</v>
      </c>
      <c r="E54" s="16" t="s">
        <v>20</v>
      </c>
      <c r="F54" s="16" t="s">
        <v>20</v>
      </c>
      <c r="G54" s="16" t="s">
        <v>20</v>
      </c>
      <c r="H54" s="16" t="s">
        <v>20</v>
      </c>
      <c r="I54" s="16" t="s">
        <v>20</v>
      </c>
      <c r="J54" s="16" t="s">
        <v>20</v>
      </c>
      <c r="K54" s="16" t="s">
        <v>20</v>
      </c>
      <c r="L54" s="16" t="s">
        <v>20</v>
      </c>
      <c r="M54" s="16" t="s">
        <v>20</v>
      </c>
      <c r="N54" s="13">
        <f t="shared" si="4"/>
        <v>11</v>
      </c>
    </row>
    <row r="55">
      <c r="A55" s="28" t="s">
        <v>133</v>
      </c>
      <c r="B55" s="29">
        <v>1.0</v>
      </c>
      <c r="C55" s="16" t="s">
        <v>20</v>
      </c>
      <c r="D55" s="16" t="s">
        <v>24</v>
      </c>
      <c r="E55" s="16" t="s">
        <v>20</v>
      </c>
      <c r="F55" s="16" t="s">
        <v>20</v>
      </c>
      <c r="G55" s="16" t="s">
        <v>20</v>
      </c>
      <c r="H55" s="16" t="s">
        <v>28</v>
      </c>
      <c r="I55" s="16" t="s">
        <v>20</v>
      </c>
      <c r="J55" s="16" t="s">
        <v>20</v>
      </c>
      <c r="K55" s="16" t="s">
        <v>28</v>
      </c>
      <c r="L55" s="16" t="s">
        <v>24</v>
      </c>
      <c r="M55" s="16" t="s">
        <v>20</v>
      </c>
      <c r="N55" s="13">
        <f t="shared" si="4"/>
        <v>7</v>
      </c>
    </row>
    <row r="56">
      <c r="A56" s="28" t="s">
        <v>134</v>
      </c>
      <c r="B56" s="29">
        <v>1.0</v>
      </c>
      <c r="C56" s="16" t="s">
        <v>20</v>
      </c>
      <c r="D56" s="16" t="s">
        <v>20</v>
      </c>
      <c r="E56" s="16" t="s">
        <v>20</v>
      </c>
      <c r="F56" s="16" t="s">
        <v>20</v>
      </c>
      <c r="G56" s="16" t="s">
        <v>20</v>
      </c>
      <c r="H56" s="16" t="s">
        <v>20</v>
      </c>
      <c r="I56" s="16" t="s">
        <v>20</v>
      </c>
      <c r="J56" s="16" t="s">
        <v>20</v>
      </c>
      <c r="K56" s="16" t="s">
        <v>20</v>
      </c>
      <c r="L56" s="16" t="s">
        <v>20</v>
      </c>
      <c r="M56" s="16" t="s">
        <v>20</v>
      </c>
      <c r="N56" s="13">
        <f t="shared" si="4"/>
        <v>11</v>
      </c>
    </row>
    <row r="57">
      <c r="A57" s="28" t="s">
        <v>135</v>
      </c>
      <c r="B57" s="29">
        <v>1.0</v>
      </c>
      <c r="C57" s="16" t="s">
        <v>20</v>
      </c>
      <c r="D57" s="16" t="s">
        <v>20</v>
      </c>
      <c r="E57" s="16" t="s">
        <v>20</v>
      </c>
      <c r="F57" s="16" t="s">
        <v>20</v>
      </c>
      <c r="G57" s="16" t="s">
        <v>20</v>
      </c>
      <c r="H57" s="16" t="s">
        <v>20</v>
      </c>
      <c r="I57" s="16" t="s">
        <v>20</v>
      </c>
      <c r="J57" s="16" t="s">
        <v>20</v>
      </c>
      <c r="K57" s="16" t="s">
        <v>20</v>
      </c>
      <c r="L57" s="16" t="s">
        <v>20</v>
      </c>
      <c r="M57" s="16" t="s">
        <v>20</v>
      </c>
      <c r="N57" s="13">
        <f t="shared" si="4"/>
        <v>11</v>
      </c>
    </row>
    <row r="58">
      <c r="A58" s="28" t="s">
        <v>136</v>
      </c>
      <c r="B58" s="29">
        <v>1.0</v>
      </c>
      <c r="C58" s="16" t="s">
        <v>20</v>
      </c>
      <c r="D58" s="16" t="s">
        <v>20</v>
      </c>
      <c r="E58" s="16" t="s">
        <v>20</v>
      </c>
      <c r="F58" s="16" t="s">
        <v>20</v>
      </c>
      <c r="G58" s="16" t="s">
        <v>28</v>
      </c>
      <c r="H58" s="16" t="s">
        <v>20</v>
      </c>
      <c r="I58" s="16" t="s">
        <v>20</v>
      </c>
      <c r="J58" s="16" t="s">
        <v>20</v>
      </c>
      <c r="K58" s="16" t="s">
        <v>20</v>
      </c>
      <c r="L58" s="16" t="s">
        <v>20</v>
      </c>
      <c r="M58" s="16" t="s">
        <v>20</v>
      </c>
      <c r="N58" s="13">
        <f t="shared" si="4"/>
        <v>10</v>
      </c>
    </row>
    <row r="59">
      <c r="A59" s="28" t="s">
        <v>137</v>
      </c>
      <c r="B59" s="29">
        <v>1.0</v>
      </c>
      <c r="C59" s="16" t="s">
        <v>20</v>
      </c>
      <c r="D59" s="16" t="s">
        <v>20</v>
      </c>
      <c r="E59" s="16" t="s">
        <v>20</v>
      </c>
      <c r="F59" s="16" t="s">
        <v>28</v>
      </c>
      <c r="G59" s="16" t="s">
        <v>20</v>
      </c>
      <c r="H59" s="16" t="s">
        <v>20</v>
      </c>
      <c r="I59" s="16" t="s">
        <v>28</v>
      </c>
      <c r="J59" s="16" t="s">
        <v>20</v>
      </c>
      <c r="K59" s="16" t="s">
        <v>20</v>
      </c>
      <c r="L59" s="16" t="s">
        <v>20</v>
      </c>
      <c r="M59" s="16" t="s">
        <v>20</v>
      </c>
      <c r="N59" s="13">
        <f t="shared" si="4"/>
        <v>9</v>
      </c>
    </row>
    <row r="60">
      <c r="A60" s="39" t="s">
        <v>138</v>
      </c>
      <c r="B60" s="29">
        <v>1.0</v>
      </c>
      <c r="C60" s="16" t="s">
        <v>20</v>
      </c>
      <c r="D60" s="16" t="s">
        <v>20</v>
      </c>
      <c r="E60" s="16" t="s">
        <v>20</v>
      </c>
      <c r="F60" s="16" t="s">
        <v>20</v>
      </c>
      <c r="G60" s="16" t="s">
        <v>20</v>
      </c>
      <c r="H60" s="16" t="s">
        <v>20</v>
      </c>
      <c r="I60" s="16" t="s">
        <v>20</v>
      </c>
      <c r="J60" s="16" t="s">
        <v>20</v>
      </c>
      <c r="K60" s="16" t="s">
        <v>20</v>
      </c>
      <c r="L60" s="16" t="s">
        <v>20</v>
      </c>
      <c r="M60" s="16" t="s">
        <v>20</v>
      </c>
      <c r="N60" s="13">
        <f t="shared" si="4"/>
        <v>11</v>
      </c>
    </row>
    <row r="61">
      <c r="A61" s="28" t="s">
        <v>139</v>
      </c>
      <c r="B61" s="29">
        <v>1.0</v>
      </c>
      <c r="C61" s="16" t="s">
        <v>20</v>
      </c>
      <c r="D61" s="16" t="s">
        <v>20</v>
      </c>
      <c r="E61" s="16" t="s">
        <v>20</v>
      </c>
      <c r="F61" s="16" t="s">
        <v>20</v>
      </c>
      <c r="G61" s="16" t="s">
        <v>20</v>
      </c>
      <c r="H61" s="16" t="s">
        <v>20</v>
      </c>
      <c r="I61" s="16" t="s">
        <v>20</v>
      </c>
      <c r="J61" s="16" t="s">
        <v>20</v>
      </c>
      <c r="K61" s="16" t="s">
        <v>20</v>
      </c>
      <c r="L61" s="16" t="s">
        <v>20</v>
      </c>
      <c r="M61" s="16" t="s">
        <v>20</v>
      </c>
      <c r="N61" s="13">
        <f t="shared" si="4"/>
        <v>11</v>
      </c>
    </row>
    <row r="62">
      <c r="A62" s="28" t="s">
        <v>140</v>
      </c>
      <c r="B62" s="29">
        <v>1.0</v>
      </c>
      <c r="C62" s="16" t="s">
        <v>20</v>
      </c>
      <c r="D62" s="16" t="s">
        <v>20</v>
      </c>
      <c r="E62" s="16" t="s">
        <v>20</v>
      </c>
      <c r="F62" s="16" t="s">
        <v>20</v>
      </c>
      <c r="G62" s="16" t="s">
        <v>20</v>
      </c>
      <c r="H62" s="16" t="s">
        <v>20</v>
      </c>
      <c r="I62" s="16" t="s">
        <v>20</v>
      </c>
      <c r="J62" s="16" t="s">
        <v>20</v>
      </c>
      <c r="K62" s="16" t="s">
        <v>20</v>
      </c>
      <c r="L62" s="16" t="s">
        <v>20</v>
      </c>
      <c r="M62" s="16" t="s">
        <v>20</v>
      </c>
      <c r="N62" s="13">
        <f t="shared" si="4"/>
        <v>11</v>
      </c>
    </row>
    <row r="63">
      <c r="A63" s="28" t="s">
        <v>141</v>
      </c>
      <c r="B63" s="29">
        <v>1.0</v>
      </c>
      <c r="C63" s="16" t="s">
        <v>20</v>
      </c>
      <c r="D63" s="16" t="s">
        <v>20</v>
      </c>
      <c r="E63" s="16" t="s">
        <v>20</v>
      </c>
      <c r="F63" s="16" t="s">
        <v>28</v>
      </c>
      <c r="G63" s="16" t="s">
        <v>20</v>
      </c>
      <c r="H63" s="16" t="s">
        <v>20</v>
      </c>
      <c r="I63" s="16" t="s">
        <v>20</v>
      </c>
      <c r="J63" s="16" t="s">
        <v>20</v>
      </c>
      <c r="K63" s="16" t="s">
        <v>20</v>
      </c>
      <c r="L63" s="16" t="s">
        <v>20</v>
      </c>
      <c r="M63" s="16" t="s">
        <v>20</v>
      </c>
      <c r="N63" s="13">
        <f t="shared" si="4"/>
        <v>10</v>
      </c>
    </row>
    <row r="64">
      <c r="A64" s="28" t="s">
        <v>142</v>
      </c>
      <c r="B64" s="29">
        <v>1.0</v>
      </c>
      <c r="C64" s="16" t="s">
        <v>20</v>
      </c>
      <c r="D64" s="16" t="s">
        <v>20</v>
      </c>
      <c r="E64" s="16" t="s">
        <v>20</v>
      </c>
      <c r="F64" s="16" t="s">
        <v>28</v>
      </c>
      <c r="G64" s="16" t="s">
        <v>20</v>
      </c>
      <c r="H64" s="16" t="s">
        <v>20</v>
      </c>
      <c r="I64" s="16" t="s">
        <v>20</v>
      </c>
      <c r="J64" s="16" t="s">
        <v>20</v>
      </c>
      <c r="K64" s="16" t="s">
        <v>28</v>
      </c>
      <c r="L64" s="16" t="s">
        <v>20</v>
      </c>
      <c r="M64" s="16" t="s">
        <v>20</v>
      </c>
      <c r="N64" s="13">
        <f t="shared" si="4"/>
        <v>9</v>
      </c>
    </row>
    <row r="65">
      <c r="A65" s="28" t="s">
        <v>143</v>
      </c>
      <c r="B65" s="29">
        <v>1.0</v>
      </c>
      <c r="C65" s="16" t="s">
        <v>20</v>
      </c>
      <c r="D65" s="16" t="s">
        <v>20</v>
      </c>
      <c r="E65" s="16" t="s">
        <v>20</v>
      </c>
      <c r="F65" s="16" t="s">
        <v>20</v>
      </c>
      <c r="G65" s="16" t="s">
        <v>20</v>
      </c>
      <c r="H65" s="16" t="s">
        <v>20</v>
      </c>
      <c r="I65" s="16" t="s">
        <v>20</v>
      </c>
      <c r="J65" s="16" t="s">
        <v>20</v>
      </c>
      <c r="K65" s="16" t="s">
        <v>20</v>
      </c>
      <c r="L65" s="16" t="s">
        <v>20</v>
      </c>
      <c r="M65" s="16" t="s">
        <v>20</v>
      </c>
      <c r="N65" s="13">
        <f t="shared" si="4"/>
        <v>11</v>
      </c>
    </row>
    <row r="66">
      <c r="A66" s="28" t="s">
        <v>144</v>
      </c>
      <c r="B66" s="29">
        <v>1.0</v>
      </c>
      <c r="C66" s="16" t="s">
        <v>20</v>
      </c>
      <c r="D66" s="16" t="s">
        <v>20</v>
      </c>
      <c r="E66" s="16" t="s">
        <v>20</v>
      </c>
      <c r="F66" s="16" t="s">
        <v>20</v>
      </c>
      <c r="G66" s="16" t="s">
        <v>20</v>
      </c>
      <c r="H66" s="16" t="s">
        <v>20</v>
      </c>
      <c r="I66" s="16" t="s">
        <v>20</v>
      </c>
      <c r="J66" s="16" t="s">
        <v>20</v>
      </c>
      <c r="K66" s="16" t="s">
        <v>20</v>
      </c>
      <c r="L66" s="16" t="s">
        <v>20</v>
      </c>
      <c r="M66" s="16" t="s">
        <v>20</v>
      </c>
      <c r="N66" s="13">
        <f t="shared" si="4"/>
        <v>11</v>
      </c>
    </row>
    <row r="67">
      <c r="A67" s="28" t="s">
        <v>145</v>
      </c>
      <c r="B67" s="29">
        <v>1.0</v>
      </c>
      <c r="C67" s="16" t="s">
        <v>20</v>
      </c>
      <c r="D67" s="16" t="s">
        <v>20</v>
      </c>
      <c r="E67" s="16" t="s">
        <v>20</v>
      </c>
      <c r="F67" s="16" t="s">
        <v>20</v>
      </c>
      <c r="G67" s="16" t="s">
        <v>20</v>
      </c>
      <c r="H67" s="16" t="s">
        <v>20</v>
      </c>
      <c r="I67" s="16" t="s">
        <v>20</v>
      </c>
      <c r="J67" s="16" t="s">
        <v>20</v>
      </c>
      <c r="K67" s="16" t="s">
        <v>20</v>
      </c>
      <c r="L67" s="16" t="s">
        <v>20</v>
      </c>
      <c r="M67" s="16" t="s">
        <v>20</v>
      </c>
      <c r="N67" s="13">
        <f t="shared" si="4"/>
        <v>11</v>
      </c>
    </row>
    <row r="68">
      <c r="A68" s="28" t="s">
        <v>146</v>
      </c>
      <c r="B68" s="29">
        <v>1.0</v>
      </c>
      <c r="C68" s="16" t="s">
        <v>20</v>
      </c>
      <c r="D68" s="16" t="s">
        <v>20</v>
      </c>
      <c r="E68" s="16" t="s">
        <v>20</v>
      </c>
      <c r="F68" s="16" t="s">
        <v>20</v>
      </c>
      <c r="G68" s="16" t="s">
        <v>20</v>
      </c>
      <c r="H68" s="16" t="s">
        <v>20</v>
      </c>
      <c r="I68" s="16" t="s">
        <v>20</v>
      </c>
      <c r="J68" s="16" t="s">
        <v>20</v>
      </c>
      <c r="K68" s="16" t="s">
        <v>20</v>
      </c>
      <c r="L68" s="16" t="s">
        <v>20</v>
      </c>
      <c r="M68" s="16" t="s">
        <v>20</v>
      </c>
      <c r="N68" s="13">
        <f t="shared" si="4"/>
        <v>11</v>
      </c>
    </row>
    <row r="71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>
      <c r="B72" s="40" t="s">
        <v>6</v>
      </c>
      <c r="D72" s="41"/>
      <c r="E72" s="40" t="s">
        <v>7</v>
      </c>
      <c r="G72" s="41"/>
      <c r="H72" s="40" t="s">
        <v>8</v>
      </c>
      <c r="K72" s="42" t="s">
        <v>9</v>
      </c>
      <c r="M72" s="41"/>
      <c r="N72" s="40" t="s">
        <v>10</v>
      </c>
      <c r="Q72" s="42" t="s">
        <v>11</v>
      </c>
      <c r="T72" s="42" t="s">
        <v>12</v>
      </c>
      <c r="V72" s="41"/>
      <c r="W72" s="40" t="s">
        <v>13</v>
      </c>
      <c r="Z72" s="42" t="s">
        <v>14</v>
      </c>
      <c r="AB72" s="41"/>
      <c r="AC72" s="40" t="s">
        <v>15</v>
      </c>
      <c r="AF72" s="42" t="s">
        <v>16</v>
      </c>
    </row>
    <row r="73">
      <c r="A73" s="27" t="s">
        <v>94</v>
      </c>
      <c r="B73" s="27" t="s">
        <v>95</v>
      </c>
      <c r="C73" s="27" t="s">
        <v>96</v>
      </c>
      <c r="D73" s="43" t="s">
        <v>97</v>
      </c>
      <c r="E73" s="44" t="s">
        <v>95</v>
      </c>
      <c r="F73" s="27" t="s">
        <v>96</v>
      </c>
      <c r="G73" s="43" t="s">
        <v>97</v>
      </c>
      <c r="H73" s="44" t="s">
        <v>95</v>
      </c>
      <c r="I73" s="27" t="s">
        <v>96</v>
      </c>
      <c r="J73" s="45" t="s">
        <v>97</v>
      </c>
      <c r="K73" s="46" t="s">
        <v>95</v>
      </c>
      <c r="L73" s="27" t="s">
        <v>96</v>
      </c>
      <c r="M73" s="43" t="s">
        <v>97</v>
      </c>
      <c r="N73" s="44" t="s">
        <v>95</v>
      </c>
      <c r="O73" s="27" t="s">
        <v>96</v>
      </c>
      <c r="P73" s="45" t="s">
        <v>97</v>
      </c>
      <c r="Q73" s="46" t="s">
        <v>95</v>
      </c>
      <c r="R73" s="27" t="s">
        <v>96</v>
      </c>
      <c r="S73" s="45" t="s">
        <v>97</v>
      </c>
      <c r="T73" s="46" t="s">
        <v>95</v>
      </c>
      <c r="U73" s="27" t="s">
        <v>96</v>
      </c>
      <c r="V73" s="43" t="s">
        <v>97</v>
      </c>
      <c r="W73" s="44" t="s">
        <v>95</v>
      </c>
      <c r="X73" s="27" t="s">
        <v>96</v>
      </c>
      <c r="Y73" s="45" t="s">
        <v>97</v>
      </c>
      <c r="Z73" s="46" t="s">
        <v>95</v>
      </c>
      <c r="AA73" s="27" t="s">
        <v>96</v>
      </c>
      <c r="AB73" s="43" t="s">
        <v>97</v>
      </c>
      <c r="AC73" s="44" t="s">
        <v>95</v>
      </c>
      <c r="AD73" s="27" t="s">
        <v>96</v>
      </c>
      <c r="AE73" s="45" t="s">
        <v>97</v>
      </c>
      <c r="AF73" s="46" t="s">
        <v>95</v>
      </c>
      <c r="AG73" s="27" t="s">
        <v>96</v>
      </c>
      <c r="AH73" s="45" t="s">
        <v>97</v>
      </c>
    </row>
    <row r="74">
      <c r="A74" s="19" t="s">
        <v>147</v>
      </c>
      <c r="B74" s="20">
        <v>7102946.0</v>
      </c>
      <c r="C74" s="36" t="s">
        <v>148</v>
      </c>
      <c r="D74" s="47"/>
      <c r="E74" s="48">
        <v>7102214.0</v>
      </c>
      <c r="F74" s="36" t="s">
        <v>148</v>
      </c>
      <c r="G74" s="47"/>
      <c r="H74" s="48">
        <v>7105313.0</v>
      </c>
      <c r="I74" s="36" t="s">
        <v>149</v>
      </c>
      <c r="J74" s="49"/>
      <c r="K74" s="50">
        <v>467.0</v>
      </c>
      <c r="L74" s="36" t="s">
        <v>150</v>
      </c>
      <c r="M74" s="47"/>
      <c r="N74" s="48">
        <v>7105261.0</v>
      </c>
      <c r="O74" s="36" t="s">
        <v>114</v>
      </c>
      <c r="P74" s="49"/>
      <c r="Q74" s="50">
        <v>7100857.0</v>
      </c>
      <c r="R74" s="36" t="s">
        <v>150</v>
      </c>
      <c r="S74" s="49"/>
      <c r="T74" s="50">
        <v>9670.0</v>
      </c>
      <c r="U74" s="36" t="s">
        <v>114</v>
      </c>
      <c r="V74" s="47"/>
      <c r="W74" s="48">
        <v>7102130.0</v>
      </c>
      <c r="X74" s="36" t="s">
        <v>148</v>
      </c>
      <c r="Y74" s="49"/>
      <c r="Z74" s="50">
        <v>5247.0</v>
      </c>
      <c r="AA74" s="36" t="s">
        <v>148</v>
      </c>
      <c r="AB74" s="47"/>
      <c r="AC74" s="48">
        <v>750.0</v>
      </c>
      <c r="AD74" s="51" t="s">
        <v>148</v>
      </c>
      <c r="AE74" s="49"/>
      <c r="AF74" s="50">
        <v>7106619.0</v>
      </c>
      <c r="AG74" s="51" t="s">
        <v>114</v>
      </c>
      <c r="AH74" s="11"/>
    </row>
    <row r="75">
      <c r="A75" s="19" t="s">
        <v>151</v>
      </c>
      <c r="B75" s="20">
        <v>6900517.0</v>
      </c>
      <c r="C75" s="11"/>
      <c r="D75" s="47"/>
      <c r="E75" s="48">
        <v>7101139.0</v>
      </c>
      <c r="F75" s="11"/>
      <c r="G75" s="47"/>
      <c r="H75" s="48">
        <v>7106608.0</v>
      </c>
      <c r="I75" s="11"/>
      <c r="J75" s="49"/>
      <c r="K75" s="50">
        <v>7105447.0</v>
      </c>
      <c r="L75" s="11"/>
      <c r="M75" s="47"/>
      <c r="N75" s="48">
        <v>7105192.0</v>
      </c>
      <c r="O75" s="11"/>
      <c r="P75" s="49"/>
      <c r="Q75" s="50">
        <v>7104131.0</v>
      </c>
      <c r="R75" s="11"/>
      <c r="S75" s="49"/>
      <c r="T75" s="50">
        <v>7100596.0</v>
      </c>
      <c r="U75" s="11"/>
      <c r="V75" s="47"/>
      <c r="W75" s="48">
        <v>7105551.0</v>
      </c>
      <c r="X75" s="36" t="s">
        <v>152</v>
      </c>
      <c r="Y75" s="49"/>
      <c r="Z75" s="50">
        <v>6913.0</v>
      </c>
      <c r="AA75" s="11"/>
      <c r="AB75" s="47"/>
      <c r="AC75" s="48">
        <v>7105949.0</v>
      </c>
      <c r="AD75" s="52"/>
      <c r="AE75" s="49"/>
      <c r="AF75" s="53"/>
      <c r="AG75" s="52"/>
      <c r="AH75" s="11"/>
    </row>
    <row r="76">
      <c r="A76" s="19" t="s">
        <v>153</v>
      </c>
      <c r="B76" s="20">
        <v>1379118.0</v>
      </c>
      <c r="C76" s="11"/>
      <c r="D76" s="47"/>
      <c r="E76" s="48">
        <v>1.6644491E7</v>
      </c>
      <c r="F76" s="11"/>
      <c r="G76" s="47"/>
      <c r="H76" s="48">
        <v>1657810.0</v>
      </c>
      <c r="I76" s="11"/>
      <c r="J76" s="49"/>
      <c r="K76" s="50">
        <v>1641550.0</v>
      </c>
      <c r="L76" s="11"/>
      <c r="M76" s="47"/>
      <c r="N76" s="48">
        <v>1657830.0</v>
      </c>
      <c r="O76" s="36" t="s">
        <v>154</v>
      </c>
      <c r="P76" s="49"/>
      <c r="Q76" s="50">
        <v>1345820.0</v>
      </c>
      <c r="R76" s="11"/>
      <c r="S76" s="49"/>
      <c r="T76" s="50">
        <v>832134.0</v>
      </c>
      <c r="U76" s="11"/>
      <c r="V76" s="47"/>
      <c r="W76" s="48">
        <v>800856.0</v>
      </c>
      <c r="X76" s="36" t="s">
        <v>152</v>
      </c>
      <c r="Y76" s="49"/>
      <c r="Z76" s="50">
        <v>1872237.0</v>
      </c>
      <c r="AA76" s="11"/>
      <c r="AB76" s="47"/>
      <c r="AC76" s="48">
        <v>94744.0</v>
      </c>
      <c r="AD76" s="52"/>
      <c r="AE76" s="49"/>
      <c r="AF76" s="53"/>
      <c r="AG76" s="52"/>
      <c r="AH76" s="11"/>
    </row>
    <row r="77">
      <c r="A77" s="19" t="s">
        <v>155</v>
      </c>
      <c r="B77" s="20">
        <v>3861.0</v>
      </c>
      <c r="C77" s="11"/>
      <c r="D77" s="47"/>
      <c r="E77" s="48">
        <v>1.0110006E7</v>
      </c>
      <c r="F77" s="11"/>
      <c r="G77" s="47"/>
      <c r="H77" s="48">
        <v>80791.0</v>
      </c>
      <c r="I77" s="11"/>
      <c r="J77" s="49"/>
      <c r="K77" s="50">
        <v>62721.0</v>
      </c>
      <c r="L77" s="11"/>
      <c r="M77" s="47"/>
      <c r="N77" s="48">
        <v>2081524.0</v>
      </c>
      <c r="O77" s="11"/>
      <c r="P77" s="49"/>
      <c r="Q77" s="50">
        <v>1040834.0</v>
      </c>
      <c r="R77" s="11"/>
      <c r="S77" s="49"/>
      <c r="T77" s="50">
        <v>162989.0</v>
      </c>
      <c r="U77" s="11"/>
      <c r="V77" s="47"/>
      <c r="W77" s="48">
        <v>4062481.0</v>
      </c>
      <c r="X77" s="11"/>
      <c r="Y77" s="49"/>
      <c r="Z77" s="50">
        <v>2011242.0</v>
      </c>
      <c r="AA77" s="11"/>
      <c r="AB77" s="47"/>
      <c r="AC77" s="48">
        <v>2091921.0</v>
      </c>
      <c r="AD77" s="48">
        <v>625.0</v>
      </c>
      <c r="AE77" s="49"/>
      <c r="AF77" s="50">
        <v>1091083.0</v>
      </c>
      <c r="AG77" s="52"/>
      <c r="AH77" s="11"/>
    </row>
    <row r="78">
      <c r="A78" s="19" t="s">
        <v>156</v>
      </c>
      <c r="B78" s="36" t="s">
        <v>157</v>
      </c>
      <c r="C78" s="11"/>
      <c r="D78" s="47"/>
      <c r="E78" s="51" t="s">
        <v>20</v>
      </c>
      <c r="F78" s="11"/>
      <c r="G78" s="47"/>
      <c r="H78" s="51" t="s">
        <v>20</v>
      </c>
      <c r="I78" s="11"/>
      <c r="J78" s="49"/>
      <c r="K78" s="54" t="s">
        <v>20</v>
      </c>
      <c r="L78" s="11"/>
      <c r="M78" s="47"/>
      <c r="N78" s="51" t="s">
        <v>157</v>
      </c>
      <c r="O78" s="11"/>
      <c r="P78" s="49"/>
      <c r="Q78" s="54" t="s">
        <v>157</v>
      </c>
      <c r="R78" s="11"/>
      <c r="S78" s="49"/>
      <c r="T78" s="54" t="s">
        <v>20</v>
      </c>
      <c r="U78" s="11"/>
      <c r="V78" s="47"/>
      <c r="W78" s="51" t="s">
        <v>20</v>
      </c>
      <c r="X78" s="11"/>
      <c r="Y78" s="49"/>
      <c r="Z78" s="54" t="s">
        <v>157</v>
      </c>
      <c r="AA78" s="11"/>
      <c r="AB78" s="47"/>
      <c r="AC78" s="51" t="s">
        <v>157</v>
      </c>
      <c r="AD78" s="51" t="s">
        <v>152</v>
      </c>
      <c r="AE78" s="49"/>
      <c r="AF78" s="54" t="s">
        <v>157</v>
      </c>
      <c r="AG78" s="52"/>
      <c r="AH78" s="11"/>
    </row>
    <row r="79">
      <c r="A79" s="19" t="s">
        <v>158</v>
      </c>
      <c r="B79" s="36" t="s">
        <v>157</v>
      </c>
      <c r="C79" s="11"/>
      <c r="D79" s="47"/>
      <c r="E79" s="51" t="s">
        <v>20</v>
      </c>
      <c r="F79" s="11"/>
      <c r="G79" s="47"/>
      <c r="H79" s="51" t="s">
        <v>20</v>
      </c>
      <c r="I79" s="11"/>
      <c r="J79" s="49"/>
      <c r="K79" s="54" t="s">
        <v>20</v>
      </c>
      <c r="L79" s="11"/>
      <c r="M79" s="47"/>
      <c r="N79" s="51" t="s">
        <v>20</v>
      </c>
      <c r="O79" s="11"/>
      <c r="P79" s="49"/>
      <c r="Q79" s="54" t="s">
        <v>20</v>
      </c>
      <c r="R79" s="11"/>
      <c r="S79" s="49"/>
      <c r="T79" s="54" t="s">
        <v>20</v>
      </c>
      <c r="U79" s="11"/>
      <c r="V79" s="47"/>
      <c r="W79" s="51" t="s">
        <v>20</v>
      </c>
      <c r="X79" s="11"/>
      <c r="Y79" s="49"/>
      <c r="Z79" s="54" t="s">
        <v>157</v>
      </c>
      <c r="AA79" s="11"/>
      <c r="AB79" s="47"/>
      <c r="AC79" s="51" t="s">
        <v>157</v>
      </c>
      <c r="AD79" s="51" t="s">
        <v>159</v>
      </c>
      <c r="AE79" s="49"/>
      <c r="AF79" s="54" t="s">
        <v>157</v>
      </c>
      <c r="AG79" s="52"/>
      <c r="AH79" s="11"/>
    </row>
    <row r="80">
      <c r="A80" s="19" t="s">
        <v>160</v>
      </c>
      <c r="B80" s="20">
        <v>1.02305098E8</v>
      </c>
      <c r="C80" s="11"/>
      <c r="D80" s="47"/>
      <c r="E80" s="48">
        <v>1.0231352E8</v>
      </c>
      <c r="F80" s="11"/>
      <c r="G80" s="47"/>
      <c r="H80" s="48">
        <v>1.12101107E8</v>
      </c>
      <c r="I80" s="11"/>
      <c r="J80" s="49"/>
      <c r="K80" s="50">
        <v>1.1210097E8</v>
      </c>
      <c r="L80" s="11"/>
      <c r="M80" s="47"/>
      <c r="N80" s="48">
        <v>1.02310094E8</v>
      </c>
      <c r="O80" s="11"/>
      <c r="P80" s="49"/>
      <c r="Q80" s="50">
        <v>1.22102532E8</v>
      </c>
      <c r="R80" s="11"/>
      <c r="S80" s="49"/>
      <c r="T80" s="50">
        <v>1.02305824E8</v>
      </c>
      <c r="U80" s="11"/>
      <c r="V80" s="47"/>
      <c r="W80" s="48">
        <v>1.12100413E8</v>
      </c>
      <c r="X80" s="11"/>
      <c r="Y80" s="49"/>
      <c r="Z80" s="50">
        <v>1.12101804E8</v>
      </c>
      <c r="AA80" s="11"/>
      <c r="AB80" s="47"/>
      <c r="AC80" s="48">
        <v>1.0215638E7</v>
      </c>
      <c r="AD80" s="52"/>
      <c r="AE80" s="49"/>
      <c r="AF80" s="50">
        <v>1.02305996E8</v>
      </c>
      <c r="AG80" s="52"/>
      <c r="AH80" s="11"/>
    </row>
    <row r="81">
      <c r="A81" s="19" t="s">
        <v>161</v>
      </c>
      <c r="B81" s="36" t="s">
        <v>157</v>
      </c>
      <c r="C81" s="11"/>
      <c r="D81" s="47"/>
      <c r="E81" s="51" t="s">
        <v>20</v>
      </c>
      <c r="F81" s="11"/>
      <c r="G81" s="47"/>
      <c r="H81" s="51" t="s">
        <v>20</v>
      </c>
      <c r="I81" s="11"/>
      <c r="J81" s="49"/>
      <c r="K81" s="54" t="s">
        <v>162</v>
      </c>
      <c r="L81" s="11"/>
      <c r="M81" s="47"/>
      <c r="N81" s="51" t="s">
        <v>20</v>
      </c>
      <c r="O81" s="11"/>
      <c r="P81" s="49"/>
      <c r="Q81" s="54" t="s">
        <v>20</v>
      </c>
      <c r="R81" s="11"/>
      <c r="S81" s="49"/>
      <c r="T81" s="54" t="s">
        <v>20</v>
      </c>
      <c r="U81" s="11"/>
      <c r="V81" s="47"/>
      <c r="W81" s="51"/>
      <c r="X81" s="11"/>
      <c r="Y81" s="49"/>
      <c r="Z81" s="54" t="s">
        <v>20</v>
      </c>
      <c r="AA81" s="11"/>
      <c r="AB81" s="47"/>
      <c r="AC81" s="51" t="s">
        <v>162</v>
      </c>
      <c r="AD81" s="52"/>
      <c r="AE81" s="49"/>
      <c r="AF81" s="54" t="s">
        <v>157</v>
      </c>
      <c r="AG81" s="52"/>
      <c r="AH81" s="11"/>
    </row>
    <row r="82">
      <c r="A82" s="24" t="s">
        <v>163</v>
      </c>
      <c r="B82" s="36" t="s">
        <v>157</v>
      </c>
      <c r="C82" s="11"/>
      <c r="D82" s="47"/>
      <c r="E82" s="51" t="s">
        <v>20</v>
      </c>
      <c r="F82" s="11"/>
      <c r="G82" s="47"/>
      <c r="H82" s="51" t="s">
        <v>20</v>
      </c>
      <c r="I82" s="11"/>
      <c r="J82" s="49"/>
      <c r="K82" s="54" t="s">
        <v>20</v>
      </c>
      <c r="L82" s="11"/>
      <c r="M82" s="47"/>
      <c r="N82" s="51" t="s">
        <v>20</v>
      </c>
      <c r="O82" s="11"/>
      <c r="P82" s="49"/>
      <c r="Q82" s="54" t="s">
        <v>20</v>
      </c>
      <c r="R82" s="11"/>
      <c r="S82" s="49"/>
      <c r="T82" s="54" t="s">
        <v>20</v>
      </c>
      <c r="U82" s="11"/>
      <c r="V82" s="47"/>
      <c r="W82" s="51" t="s">
        <v>20</v>
      </c>
      <c r="X82" s="11"/>
      <c r="Y82" s="49"/>
      <c r="Z82" s="54" t="s">
        <v>20</v>
      </c>
      <c r="AA82" s="11"/>
      <c r="AB82" s="47"/>
      <c r="AC82" s="51" t="s">
        <v>20</v>
      </c>
      <c r="AD82" s="52"/>
      <c r="AE82" s="49"/>
      <c r="AF82" s="54" t="s">
        <v>157</v>
      </c>
      <c r="AG82" s="52"/>
      <c r="AH82" s="11"/>
    </row>
    <row r="83">
      <c r="A83" s="19" t="s">
        <v>164</v>
      </c>
      <c r="B83" s="20">
        <v>522705.0</v>
      </c>
      <c r="C83" s="11"/>
      <c r="D83" s="47"/>
      <c r="E83" s="48">
        <v>530106.0</v>
      </c>
      <c r="F83" s="11"/>
      <c r="G83" s="47"/>
      <c r="H83" s="48">
        <v>529414.0</v>
      </c>
      <c r="I83" s="11"/>
      <c r="J83" s="49"/>
      <c r="K83" s="50">
        <v>586526.0</v>
      </c>
      <c r="L83" s="11"/>
      <c r="M83" s="47"/>
      <c r="N83" s="48">
        <v>605453.0</v>
      </c>
      <c r="O83" s="11"/>
      <c r="P83" s="49"/>
      <c r="Q83" s="50">
        <v>587021.0</v>
      </c>
      <c r="R83" s="11"/>
      <c r="S83" s="49"/>
      <c r="T83" s="50">
        <v>586216.0</v>
      </c>
      <c r="U83" s="11"/>
      <c r="V83" s="47"/>
      <c r="W83" s="48">
        <v>529844.0</v>
      </c>
      <c r="X83" s="11"/>
      <c r="Y83" s="49"/>
      <c r="Z83" s="50">
        <v>605854.0</v>
      </c>
      <c r="AA83" s="11"/>
      <c r="AB83" s="47"/>
      <c r="AC83" s="48">
        <v>587107.0</v>
      </c>
      <c r="AD83" s="52"/>
      <c r="AE83" s="49"/>
      <c r="AF83" s="50">
        <v>522625.0</v>
      </c>
      <c r="AG83" s="52"/>
      <c r="AH83" s="11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</row>
  </sheetData>
  <mergeCells count="16">
    <mergeCell ref="H72:J72"/>
    <mergeCell ref="K72:M72"/>
    <mergeCell ref="N72:P72"/>
    <mergeCell ref="Q72:S72"/>
    <mergeCell ref="T72:V72"/>
    <mergeCell ref="W72:Y72"/>
    <mergeCell ref="AC72:AE72"/>
    <mergeCell ref="AF72:AH72"/>
    <mergeCell ref="P1:AC1"/>
    <mergeCell ref="P18:AC18"/>
    <mergeCell ref="P26:AB26"/>
    <mergeCell ref="P36:S36"/>
    <mergeCell ref="W36:Y36"/>
    <mergeCell ref="B72:D72"/>
    <mergeCell ref="E72:G72"/>
    <mergeCell ref="Z72:AB72"/>
  </mergeCells>
  <dataValidations>
    <dataValidation type="list" allowBlank="1" showErrorMessage="1" sqref="C13:M13">
      <formula1>"קיים,1 בלאי,2 בלאי, 1 חוסר,2 חוסר"</formula1>
    </dataValidation>
    <dataValidation type="list" allowBlank="1" showErrorMessage="1" sqref="C3:M12 C14:M18 C20:M68">
      <formula1>"קיים,בלאי,חוסר"</formula1>
    </dataValidation>
  </dataValidations>
  <drawing r:id="rId1"/>
  <tableParts count="1">
    <tablePart r:id="rId3"/>
  </tableParts>
</worksheet>
</file>